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408307aef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a4381f2b2d546e1"/>
    <x:sheet xmlns:r="http://schemas.openxmlformats.org/officeDocument/2006/relationships" name="Calc" sheetId="2" r:id="Rf364c36d5c694919"/>
    <x:sheet xmlns:r="http://schemas.openxmlformats.org/officeDocument/2006/relationships" name="Presets" sheetId="3" r:id="R55387b6a0c9140de"/>
    <x:sheet xmlns:r="http://schemas.openxmlformats.org/officeDocument/2006/relationships" name="Rules" sheetId="4" r:id="R048977d839f54734"/>
    <x:sheet xmlns:r="http://schemas.openxmlformats.org/officeDocument/2006/relationships" name="Factors" sheetId="5" r:id="Ra55ef0cfc950445e"/>
    <x:sheet xmlns:r="http://schemas.openxmlformats.org/officeDocument/2006/relationships" name="Help" sheetId="6" r:id="R44c4dce0e98e4a9d"/>
    <x:sheet xmlns:r="http://schemas.openxmlformats.org/officeDocument/2006/relationships" name="Devices" sheetId="7" r:id="R54a970424df5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2"/>
      <x:color rgb="001F4E79"/>
    </x:font>
    <x:font>
      <x:b/>
      <x:color rgb="000000FF"/>
    </x:font>
    <x:font>
      <x:b/>
      <x:sz val="16"/>
      <x:color rgb="001F4E79"/>
    </x:font>
    <x:font>
      <x:i/>
      <x:color rgb="001F4E79"/>
    </x:font>
    <x:font>
      <x:b/>
      <x:sz val="20"/>
      <x:color rgb="001F4E79"/>
    </x:font>
    <x:font>
      <x:i/>
      <x:sz val="11"/>
      <x:color rgb="0044546A"/>
    </x:font>
    <x:font>
      <x:b/>
      <x:color rgb="001F4E79"/>
    </x:font>
    <x:font>
      <x:b/>
      <x:color rgb="0044546A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  <x:fill>
      <x:patternFill patternType="solid">
        <x:fgColor rgb="00FFF2CC"/>
      </x:patternFill>
    </x:fill>
    <x:fill>
      <x:patternFill patternType="solid">
        <x:fgColor rgb="00E2EFDA"/>
      </x:patternFill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6" fillId="0" borderId="0" xfId="0"/>
    <x:xf numFmtId="0" fontId="7" fillId="0" borderId="0" xfId="0"/>
    <x:xf numFmtId="0" fontId="1" fillId="2" borderId="0" xfId="0"/>
    <x:xf numFmtId="0" fontId="8" fillId="3" borderId="1" xfId="0" applyAlignment="1">
      <x:alignment horizontal="left" vertical="center" wrapText="1"/>
    </x:xf>
    <x:xf numFmtId="0" fontId="3" fillId="4" borderId="1" xfId="0" applyAlignment="1">
      <x:alignment horizontal="left" vertical="center" wrapText="1"/>
    </x:xf>
    <x:xf numFmtId="1" fontId="8" fillId="5" borderId="1" xfId="0" applyAlignment="1">
      <x:alignment horizontal="left" vertical="center" wrapText="1"/>
    </x:xf>
    <x:xf numFmtId="0" fontId="8" fillId="5" borderId="1" xfId="0" applyAlignment="1">
      <x:alignment horizontal="left" vertical="center" wrapText="1"/>
    </x:xf>
    <x:xf numFmtId="1" fontId="3" fillId="4" borderId="1" xfId="0" applyAlignment="1">
      <x:alignment horizontal="center" vertical="center" wrapText="1"/>
    </x:xf>
    <x:xf numFmtId="0" fontId="8" fillId="5" borderId="1" xfId="0" applyAlignment="1">
      <x:alignment vertical="top" wrapText="1"/>
    </x:xf>
    <x:xf numFmtId="2" fontId="3" fillId="4" borderId="1" xfId="0" applyAlignment="1">
      <x:alignment horizontal="center" vertical="center" wrapText="1"/>
    </x:xf>
    <x:xf numFmtId="0" fontId="8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1" fontId="0" fillId="0" borderId="1" xfId="0" applyAlignment="1">
      <x:alignment horizontal="center" vertical="center" wrapText="1"/>
    </x:xf>
    <x:xf numFmtId="1" fontId="0" fillId="0" borderId="1" xfId="0" applyAlignment="1">
      <x:alignment horizontal="left" vertical="center" wrapText="1"/>
    </x:xf>
    <x:xf numFmtId="2" fontId="0" fillId="0" borderId="1" xfId="0" applyAlignment="1">
      <x:alignment horizontal="left" vertical="center" wrapText="1"/>
    </x:xf>
    <x:xf numFmtId="0" fontId="2" fillId="0" borderId="0" xfId="0"/>
    <x:xf numFmtId="0" fontId="0" fillId="3" borderId="1" xfId="0" applyAlignment="1">
      <x:alignment horizontal="left" vertical="center" wrapText="1"/>
    </x:xf>
    <x:xf numFmtId="2" fontId="0" fillId="0" borderId="1" xfId="0" applyAlignment="1">
      <x:alignment horizontal="center" vertical="center" wrapText="1"/>
    </x:xf>
    <x:xf numFmtId="0" fontId="4" fillId="0" borderId="0" xfId="0"/>
    <x:xf numFmtId="0" fontId="5" fillId="0" borderId="0" xfId="0"/>
    <x:xf numFmtId="0" fontId="0" fillId="0" borderId="0" xfId="0" applyAlignment="1">
      <x:alignment vertical="top" wrapText="1"/>
    </x:xf>
    <x:xf numFmtId="0" fontId="9" fillId="0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de58b3c6644e5" /><Relationship Type="http://schemas.openxmlformats.org/officeDocument/2006/relationships/theme" Target="/xl/theme/theme1.xml" Id="Rf94c0fd65d594832" /><Relationship Type="http://schemas.openxmlformats.org/officeDocument/2006/relationships/sharedStrings" Target="/xl/sharedStrings.xml" Id="R094ebd89155b46e1" /><Relationship Type="http://schemas.openxmlformats.org/officeDocument/2006/relationships/worksheet" Target="/xl/worksheets/sheet1.xml" Id="R0a4381f2b2d546e1" /><Relationship Type="http://schemas.openxmlformats.org/officeDocument/2006/relationships/worksheet" Target="/xl/worksheets/sheet2.xml" Id="Rf364c36d5c694919" /><Relationship Type="http://schemas.openxmlformats.org/officeDocument/2006/relationships/worksheet" Target="/xl/worksheets/sheet3.xml" Id="R55387b6a0c9140de" /><Relationship Type="http://schemas.openxmlformats.org/officeDocument/2006/relationships/worksheet" Target="/xl/worksheets/sheet4.xml" Id="R048977d839f54734" /><Relationship Type="http://schemas.openxmlformats.org/officeDocument/2006/relationships/worksheet" Target="/xl/worksheets/sheet5.xml" Id="Ra55ef0cfc950445e" /><Relationship Type="http://schemas.openxmlformats.org/officeDocument/2006/relationships/worksheet" Target="/xl/worksheets/sheet6.xml" Id="R44c4dce0e98e4a9d" /><Relationship Type="http://schemas.openxmlformats.org/officeDocument/2006/relationships/worksheet" Target="/xl/worksheets/sheet7.xml" Id="R54a970424df54d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24829cb13643b7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time by target device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gapWidth val="150"/>
        <c:ser>
          <c:idx val="0"/>
          <c:order val="0"/>
          <c:tx>
            <c:strRef>
              <c:f>'Dashboard'!G13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'Dashboard'!$E$14:$E$18</c:f>
              <c:strCache>
                <c:ptCount val="0"/>
              </c:strCache>
            </c:strRef>
          </c:cat>
          <c:val>
            <c:numRef>
              <c:f>'Dashboard'!$G$14:$G$18</c:f>
              <c:numCache>
                <c:formatCode/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19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24829cb13643b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b95a19e03b4f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30" customWidth="1"/>
    <x:col min="3" max="3" width="4" customWidth="1"/>
    <x:col min="4" max="4" width="4" customWidth="1"/>
    <x:col min="5" max="5" width="22" customWidth="1"/>
    <x:col min="6" max="6" width="34" customWidth="1"/>
    <x:col min="7" max="7" width="4" customWidth="1"/>
    <x:col min="8" max="8" width="4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</x:cols>
  <x:sheetData>
    <x:row r="1" ht="28" customHeight="1">
      <x:c r="A1" s="1" t="inlineStr">
        <x:is>
          <x:t xml:space="preserve">GetBakinGood</x:t>
        </x:is>
      </x:c>
    </x:row>
    <x:row r="2" ht="18" customHeight="1">
      <x:c r="A2" s="2" t="inlineStr">
        <x:is>
          <x:t xml:space="preserve">A simple guide to get baking right, on your very first try.</x:t>
        </x:is>
      </x:c>
    </x:row>
    <x:row r="3"/>
    <x:row r="4" ht="22" customHeight="1">
      <x:c r="A4" s="3" t="inlineStr">
        <x:is>
          <x:t xml:space="preserve">1) Choose your workflow</x:t>
        </x:is>
      </x:c>
      <x:c r="E4" s="3" t="inlineStr">
        <x:is>
          <x:t xml:space="preserve">2) Your recommendation</x:t>
        </x:is>
      </x:c>
    </x:row>
    <x:row r="5">
      <x:c r="A5" s="4" t="inlineStr">
        <x:is>
          <x:t xml:space="preserve">Workflow</x:t>
        </x:is>
      </x:c>
      <x:c r="B5" s="5" t="inlineStr">
        <x:is>
          <x:t xml:space="preserve">Use a preset</x:t>
        </x:is>
      </x:c>
      <x:c r="E5" s="4" t="inlineStr">
        <x:is>
          <x:t xml:space="preserve">Recommended temp (°C)</x:t>
        </x:is>
      </x:c>
      <x:c r="F5" s="6">
        <x:f>Calc!$B$42</x:f>
        <x:v>170</x:v>
      </x:c>
    </x:row>
    <x:row r="6">
      <x:c r="A6" s="4" t="inlineStr">
        <x:is>
          <x:t xml:space="preserve">Dish preset</x:t>
        </x:is>
      </x:c>
      <x:c r="B6" s="5" t="inlineStr">
        <x:is>
          <x:t xml:space="preserve">Vanilla sponge cake (8-inch)</x:t>
        </x:is>
      </x:c>
      <x:c r="E6" s="4" t="inlineStr">
        <x:is>
          <x:t xml:space="preserve">Recommended time (min)</x:t>
        </x:is>
      </x:c>
      <x:c r="F6" s="6">
        <x:f>Calc!$B$43</x:f>
        <x:v>29</x:v>
      </x:c>
    </x:row>
    <x:row r="7">
      <x:c r="A7" s="4" t="inlineStr">
        <x:is>
          <x:t xml:space="preserve">Recipe type (if converting)</x:t>
        </x:is>
      </x:c>
      <x:c r="B7" s="5" t="inlineStr">
        <x:is>
          <x:t xml:space="preserve">BAKE_DELICATE</x:t>
        </x:is>
      </x:c>
      <x:c r="E7" s="4" t="inlineStr">
        <x:is>
          <x:t xml:space="preserve">Preheat (min)</x:t>
        </x:is>
      </x:c>
      <x:c r="F7" s="6">
        <x:f>Calc!$B$44</x:f>
        <x:v>15</x:v>
      </x:c>
    </x:row>
    <x:row r="8">
      <x:c r="A8" s="4" t="inlineStr">
        <x:is>
          <x:t xml:space="preserve">Original device</x:t>
        </x:is>
      </x:c>
      <x:c r="B8" s="5" t="inlineStr">
        <x:is>
          <x:t xml:space="preserve">Oven (Conventional)</x:t>
        </x:is>
      </x:c>
      <x:c r="E8" s="4" t="inlineStr">
        <x:is>
          <x:t xml:space="preserve">Setting / mode</x:t>
        </x:is>
      </x:c>
      <x:c r="F8" s="7" t="str">
        <x:f>Calc!$B$9</x:f>
        <x:v>BAKE_DELICATE</x:v>
      </x:c>
    </x:row>
    <x:row r="9">
      <x:c r="A9" s="4" t="inlineStr">
        <x:is>
          <x:t xml:space="preserve">Original temp (°C)</x:t>
        </x:is>
      </x:c>
      <x:c r="B9" s="8" t="n">
        <x:v>180</x:v>
      </x:c>
      <x:c r="E9" s="4" t="inlineStr">
        <x:is>
          <x:t xml:space="preserve">Rack</x:t>
        </x:is>
      </x:c>
      <x:c r="F9" s="7" t="str">
        <x:f>Dashboard!$B$15</x:f>
        <x:v>Middle</x:v>
      </x:c>
    </x:row>
    <x:row r="10" ht="88" customHeight="1">
      <x:c r="A10" s="4" t="inlineStr">
        <x:is>
          <x:t xml:space="preserve">Original time (min)</x:t>
        </x:is>
      </x:c>
      <x:c r="B10" s="8" t="n">
        <x:v>32</x:v>
      </x:c>
      <x:c r="E10" s="4" t="inlineStr">
        <x:is>
          <x:t xml:space="preserve">Key notes</x:t>
        </x:is>
      </x:c>
      <x:c r="F10" s="9" t="str">
        <x:f>Calc!$B$45</x:f>
        <x:v>Do not open early; toothpick test; cool before unmoulding.
• Use small pan/ramekin; avoid tall cakes; cover top if browning.
• Baseline.
• Most even for baking/roasting.
• Shake/flip half-way; keep a single layer.</x:v>
      </x:c>
    </x:row>
    <x:row r="11">
      <x:c r="A11" s="4" t="inlineStr">
        <x:is>
          <x:t xml:space="preserve">Target device</x:t>
        </x:is>
      </x:c>
      <x:c r="B11" s="5" t="inlineStr">
        <x:is>
          <x:t xml:space="preserve">Air Fryer (Basket)</x:t>
        </x:is>
      </x:c>
    </x:row>
    <x:row r="12">
      <x:c r="A12" s="4" t="inlineStr">
        <x:is>
          <x:t xml:space="preserve">Quantity multiplier</x:t>
        </x:is>
      </x:c>
      <x:c r="B12" s="10" t="n">
        <x:v>1</x:v>
      </x:c>
      <x:c r="E12" s="11" t="inlineStr">
        <x:is>
          <x:t xml:space="preserve">Quick comparison (same dish/type, different target devices)</x:t>
        </x:is>
      </x:c>
    </x:row>
    <x:row r="13" ht="22" customHeight="1">
      <x:c r="A13" s="4" t="inlineStr">
        <x:is>
          <x:t xml:space="preserve">Thickness multiplier</x:t>
        </x:is>
      </x:c>
      <x:c r="B13" s="10" t="n">
        <x:v>1</x:v>
      </x:c>
      <x:c r="E13" s="12" t="inlineStr">
        <x:is>
          <x:t xml:space="preserve">Device</x:t>
        </x:is>
      </x:c>
      <x:c r="F13" s="12" t="inlineStr">
        <x:is>
          <x:t xml:space="preserve">Temp (°C)</x:t>
        </x:is>
      </x:c>
      <x:c r="G13" s="12" t="inlineStr">
        <x:is>
          <x:t xml:space="preserve">Time (min)</x:t>
        </x:is>
      </x:c>
    </x:row>
    <x:row r="14">
      <x:c r="A14" s="4" t="inlineStr">
        <x:is>
          <x:t xml:space="preserve">Container/cookware</x:t>
        </x:is>
      </x:c>
      <x:c r="B14" s="5" t="inlineStr">
        <x:is>
          <x:t xml:space="preserve">Metal (light / shiny)</x:t>
        </x:is>
      </x:c>
      <x:c r="E14" s="13" t="inlineStr">
        <x:is>
          <x:t xml:space="preserve">Oven (Conventional)</x:t>
        </x:is>
      </x:c>
      <x:c r="F14" s="14">
        <x:f>ROUND(Calc!$B$10 + (IFERROR(INDEX(Rules!$D$2:$D$200,MATCH("Oven (Conventional)"&amp;"|"&amp;Calc!$B$9,Rules!$A$2:$A$200,0)),0) - Calc!$B$16) + IF(Calc!$B$24="",0,Calc!$B$24) + IF(Calc!$B$29="",0,Calc!$B$29),0)</x:f>
        <x:v>180</x:v>
      </x:c>
      <x:c r="G14" s="14">
        <x:f>ROUND(Calc!$B$11 * (IFERROR(INDEX(Rules!$E$2:$E$200,MATCH("Oven (Conventional)"&amp;"|"&amp;Calc!$B$9,Rules!$A$2:$A$200,0)),1)/Calc!$B$17) * IF(Calc!$B$25="",1,Calc!$B$25) * IF(Calc!$B$30="",1,Calc!$B$30) * Calc!$B$35 * Calc!$B$36 * Calc!$B$37 * Calc!$B$38,0)</x:f>
        <x:v>32</x:v>
      </x:c>
    </x:row>
    <x:row r="15">
      <x:c r="A15" s="4" t="inlineStr">
        <x:is>
          <x:t xml:space="preserve">Rack position</x:t>
        </x:is>
      </x:c>
      <x:c r="B15" s="5" t="inlineStr">
        <x:is>
          <x:t xml:space="preserve">Middle</x:t>
        </x:is>
      </x:c>
      <x:c r="E15" s="13" t="inlineStr">
        <x:is>
          <x:t xml:space="preserve">OTG (Conventional)</x:t>
        </x:is>
      </x:c>
      <x:c r="F15" s="14">
        <x:f>ROUND(Calc!$B$10 + (IFERROR(INDEX(Rules!$D$2:$D$200,MATCH("OTG (Conventional)"&amp;"|"&amp;Calc!$B$9,Rules!$A$2:$A$200,0)),0) - Calc!$B$16) + IF(Calc!$B$24="",0,Calc!$B$24) + IF(Calc!$B$29="",0,Calc!$B$29),0)</x:f>
        <x:v>180</x:v>
      </x:c>
      <x:c r="G15" s="14">
        <x:f>ROUND(Calc!$B$11 * (IFERROR(INDEX(Rules!$E$2:$E$200,MATCH("OTG (Conventional)"&amp;"|"&amp;Calc!$B$9,Rules!$A$2:$A$200,0)),1)/Calc!$B$17) * IF(Calc!$B$25="",1,Calc!$B$25) * IF(Calc!$B$30="",1,Calc!$B$30) * Calc!$B$35 * Calc!$B$36 * Calc!$B$37 * Calc!$B$38,0)</x:f>
        <x:v>34</x:v>
      </x:c>
    </x:row>
    <x:row r="16">
      <x:c r="A16" s="4" t="inlineStr">
        <x:is>
          <x:t xml:space="preserve">Starting from frozen?</x:t>
        </x:is>
      </x:c>
      <x:c r="B16" s="5" t="inlineStr">
        <x:is>
          <x:t xml:space="preserve">No</x:t>
        </x:is>
      </x:c>
      <x:c r="E16" s="13" t="inlineStr">
        <x:is>
          <x:t xml:space="preserve">Oven (Convection/Fan)</x:t>
        </x:is>
      </x:c>
      <x:c r="F16" s="14">
        <x:f>ROUND(Calc!$B$10 + (IFERROR(INDEX(Rules!$D$2:$D$200,MATCH("Oven (Convection/Fan)"&amp;"|"&amp;Calc!$B$9,Rules!$A$2:$A$200,0)),0) - Calc!$B$16) + IF(Calc!$B$24="",0,Calc!$B$24) + IF(Calc!$B$29="",0,Calc!$B$29),0)</x:f>
        <x:v>170</x:v>
      </x:c>
      <x:c r="G16" s="14">
        <x:f>ROUND(Calc!$B$11 * (IFERROR(INDEX(Rules!$E$2:$E$200,MATCH("Oven (Convection/Fan)"&amp;"|"&amp;Calc!$B$9,Rules!$A$2:$A$200,0)),1)/Calc!$B$17) * IF(Calc!$B$25="",1,Calc!$B$25) * IF(Calc!$B$30="",1,Calc!$B$30) * Calc!$B$35 * Calc!$B$36 * Calc!$B$37 * Calc!$B$38,0)</x:f>
        <x:v>29</x:v>
      </x:c>
    </x:row>
    <x:row r="17">
      <x:c r="A17" s="4" t="inlineStr">
        <x:is>
          <x:t xml:space="preserve">Overcrowded tray/basket?</x:t>
        </x:is>
      </x:c>
      <x:c r="B17" s="5" t="inlineStr">
        <x:is>
          <x:t xml:space="preserve">No</x:t>
        </x:is>
      </x:c>
      <x:c r="E17" s="13" t="inlineStr">
        <x:is>
          <x:t xml:space="preserve">Convection Microwave (Convection mode)</x:t>
        </x:is>
      </x:c>
      <x:c r="F17" s="14">
        <x:f>ROUND(Calc!$B$10 + (IFERROR(INDEX(Rules!$D$2:$D$200,MATCH("Convection Microwave (Convection mode)"&amp;"|"&amp;Calc!$B$9,Rules!$A$2:$A$200,0)),0) - Calc!$B$16) + IF(Calc!$B$24="",0,Calc!$B$24) + IF(Calc!$B$29="",0,Calc!$B$29),0)</x:f>
        <x:v>170</x:v>
      </x:c>
      <x:c r="G17" s="14">
        <x:f>ROUND(Calc!$B$11 * (IFERROR(INDEX(Rules!$E$2:$E$200,MATCH("Convection Microwave (Convection mode)"&amp;"|"&amp;Calc!$B$9,Rules!$A$2:$A$200,0)),1)/Calc!$B$17) * IF(Calc!$B$25="",1,Calc!$B$25) * IF(Calc!$B$30="",1,Calc!$B$30) * Calc!$B$35 * Calc!$B$36 * Calc!$B$37 * Calc!$B$38,0)</x:f>
        <x:v>30</x:v>
      </x:c>
    </x:row>
    <x:row r="18">
      <x:c r="E18" s="13" t="inlineStr">
        <x:is>
          <x:t xml:space="preserve">Air Fryer (Basket)</x:t>
        </x:is>
      </x:c>
      <x:c r="F18" s="14">
        <x:f>ROUND(Calc!$B$10 + (IFERROR(INDEX(Rules!$D$2:$D$200,MATCH("Air Fryer (Basket)"&amp;"|"&amp;Calc!$B$9,Rules!$A$2:$A$200,0)),0) - Calc!$B$16) + IF(Calc!$B$24="",0,Calc!$B$24) + IF(Calc!$B$29="",0,Calc!$B$29),0)</x:f>
        <x:v>170</x:v>
      </x:c>
      <x:c r="G18" s="14">
        <x:f>ROUND(Calc!$B$11 * (IFERROR(INDEX(Rules!$E$2:$E$200,MATCH("Air Fryer (Basket)"&amp;"|"&amp;Calc!$B$9,Rules!$A$2:$A$200,0)),1)/Calc!$B$17) * IF(Calc!$B$25="",1,Calc!$B$25) * IF(Calc!$B$30="",1,Calc!$B$30) * Calc!$B$35 * Calc!$B$36 * Calc!$B$37 * Calc!$B$38,0)</x:f>
        <x:v>29</x:v>
      </x:c>
    </x:row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</x:sheetData>
  <x:mergeCells>
    <x:mergeCell ref="A4:D4"/>
    <x:mergeCell ref="E12:H12"/>
    <x:mergeCell ref="A2:H2"/>
    <x:mergeCell ref="E4:H4"/>
    <x:mergeCell ref="A1:H1"/>
  </x:mergeCells>
  <x:pageMargins left="0.7" right="0.7" top="0.75" bottom="0.75" header="0.3" footer="0.3"/>
  <x:drawing xmlns:r="http://schemas.openxmlformats.org/officeDocument/2006/relationships" r:id="R89b95a19e03b4f6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customWidth="1"/>
    <x:col min="2" max="2" width="70" customWidth="1"/>
  </x:cols>
  <x:sheetData>
    <x:row r="1">
      <x:c r="A1" s="11" t="inlineStr">
        <x:is>
          <x:t xml:space="preserve">Calc (helper calculations)</x:t>
        </x:is>
      </x:c>
    </x:row>
    <x:row r="2">
      <x:c r="A2" s="23" t="inlineStr">
        <x:is>
          <x:t xml:space="preserve">PresetRow</x:t>
        </x:is>
      </x:c>
      <x:c r="B2" s="24">
        <x:f>IFERROR(MATCH(Dashboard!$B$6,Presets!$C$2:$C$200,0), "")</x:f>
        <x:v>17</x:v>
      </x:c>
    </x:row>
    <x:row r="3">
      <x:c r="A3" s="23" t="inlineStr">
        <x:is>
          <x:t xml:space="preserve">PresetMode</x:t>
        </x:is>
      </x:c>
      <x:c r="B3" s="24" t="str">
        <x:f>IF($B$2="","",INDEX(Presets!$D$2:$D$200,$B$2))</x:f>
        <x:v>BAKE_DELICATE</x:v>
      </x:c>
    </x:row>
    <x:row r="4">
      <x:c r="A4" s="23" t="inlineStr">
        <x:is>
          <x:t xml:space="preserve">PresetTemp</x:t>
        </x:is>
      </x:c>
      <x:c r="B4" s="24">
        <x:f>IF($B$2="","",INDEX(Presets!$E$2:$E$200,$B$2))</x:f>
        <x:v>180</x:v>
      </x:c>
    </x:row>
    <x:row r="5">
      <x:c r="A5" s="23" t="inlineStr">
        <x:is>
          <x:t xml:space="preserve">PresetTime</x:t>
        </x:is>
      </x:c>
      <x:c r="B5" s="24">
        <x:f>IF($B$2="","",INDEX(Presets!$F$2:$F$200,$B$2))</x:f>
        <x:v>32</x:v>
      </x:c>
    </x:row>
    <x:row r="6">
      <x:c r="A6" s="23" t="inlineStr">
        <x:is>
          <x:t xml:space="preserve">PresetPreheat</x:t>
        </x:is>
      </x:c>
      <x:c r="B6" s="24">
        <x:f>IF($B$2="","",INDEX(Presets!$G$2:$G$200,$B$2))</x:f>
        <x:v>15</x:v>
      </x:c>
    </x:row>
    <x:row r="7">
      <x:c r="A7" s="23" t="inlineStr">
        <x:is>
          <x:t xml:space="preserve">PresetNotes</x:t>
        </x:is>
      </x:c>
      <x:c r="B7" s="24" t="str">
        <x:f>IF($B$2="","",INDEX(Presets!$K$2:$K$200,$B$2))</x:f>
        <x:v>Do not open early; toothpick test; cool before unmoulding.</x:v>
      </x:c>
    </x:row>
    <x:row r="9">
      <x:c r="A9" s="23" t="inlineStr">
        <x:is>
          <x:t xml:space="preserve">ModeEff</x:t>
        </x:is>
      </x:c>
      <x:c r="B9" s="24" t="str">
        <x:f>IF(Dashboard!$B$5="Use a preset",$B$3,Dashboard!$B$7)</x:f>
        <x:v>BAKE_DELICATE</x:v>
      </x:c>
    </x:row>
    <x:row r="10">
      <x:c r="A10" s="23" t="inlineStr">
        <x:is>
          <x:t xml:space="preserve">TempIn</x:t>
        </x:is>
      </x:c>
      <x:c r="B10" s="24">
        <x:f>IF(Dashboard!$B$5="Use a preset",$B$4,Dashboard!$B$9)</x:f>
        <x:v>180</x:v>
      </x:c>
    </x:row>
    <x:row r="11">
      <x:c r="A11" s="23" t="inlineStr">
        <x:is>
          <x:t xml:space="preserve">TimeIn</x:t>
        </x:is>
      </x:c>
      <x:c r="B11" s="24">
        <x:f>IF(Dashboard!$B$5="Use a preset",$B$5,Dashboard!$B$10)</x:f>
        <x:v>32</x:v>
      </x:c>
    </x:row>
    <x:row r="12">
      <x:c r="A12" s="23" t="inlineStr">
        <x:is>
          <x:t xml:space="preserve">OrigDevEff</x:t>
        </x:is>
      </x:c>
      <x:c r="B12" s="24" t="str">
        <x:f>IF(Dashboard!$B$5="Use a preset","Oven (Conventional)",Dashboard!$B$8)</x:f>
        <x:v>Oven (Conventional)</x:v>
      </x:c>
    </x:row>
    <x:row r="13">
      <x:c r="A13" s="23" t="inlineStr">
        <x:is>
          <x:t xml:space="preserve">OrigKey</x:t>
        </x:is>
      </x:c>
      <x:c r="B13" s="24" t="str">
        <x:f>$B$12&amp;"|"&amp;$B$9</x:f>
        <x:v>Oven (Conventional)|BAKE_DELICATE</x:v>
      </x:c>
    </x:row>
    <x:row r="14">
      <x:c r="A14" s="23" t="inlineStr">
        <x:is>
          <x:t xml:space="preserve">TargetKey</x:t>
        </x:is>
      </x:c>
      <x:c r="B14" s="24" t="str">
        <x:f>Dashboard!$B$11&amp;"|"&amp;$B$9</x:f>
        <x:v>Air Fryer (Basket)|BAKE_DELICATE</x:v>
      </x:c>
    </x:row>
    <x:row r="16">
      <x:c r="A16" s="23" t="inlineStr">
        <x:is>
          <x:t xml:space="preserve">OrigTempOff</x:t>
        </x:is>
      </x:c>
      <x:c r="B16" s="24" t="str">
        <x:f>IFERROR(INDEX(Rules!$D$2:$D$200,MATCH($B$13,Rules!$A$2:$A$200,0)),0)</x:f>
        <x:v>0</x:v>
      </x:c>
    </x:row>
    <x:row r="17">
      <x:c r="A17" s="23" t="inlineStr">
        <x:is>
          <x:t xml:space="preserve">OrigTimeFac</x:t>
        </x:is>
      </x:c>
      <x:c r="B17" s="24" t="str">
        <x:f>IFERROR(INDEX(Rules!$E$2:$E$200,MATCH($B$13,Rules!$A$2:$A$200,0)),1)</x:f>
        <x:v>1</x:v>
      </x:c>
    </x:row>
    <x:row r="18">
      <x:c r="A18" s="23" t="inlineStr">
        <x:is>
          <x:t xml:space="preserve">TarTempOff</x:t>
        </x:is>
      </x:c>
      <x:c r="B18" s="24" t="str">
        <x:f>IFERROR(INDEX(Rules!$D$2:$D$200,MATCH($B$14,Rules!$A$2:$A$200,0)),0)</x:f>
        <x:v>-10</x:v>
      </x:c>
    </x:row>
    <x:row r="19">
      <x:c r="A19" s="23" t="inlineStr">
        <x:is>
          <x:t xml:space="preserve">TarTimeFac</x:t>
        </x:is>
      </x:c>
      <x:c r="B19" s="24" t="str">
        <x:f>IFERROR(INDEX(Rules!$E$2:$E$200,MATCH($B$14,Rules!$A$2:$A$200,0)),1)</x:f>
        <x:v>0.9</x:v>
      </x:c>
    </x:row>
    <x:row r="20">
      <x:c r="A20" s="23" t="inlineStr">
        <x:is>
          <x:t xml:space="preserve">TarPreheat</x:t>
        </x:is>
      </x:c>
      <x:c r="B20" s="24" t="str">
        <x:f>IFERROR(INDEX(Rules!$F$2:$F$200,MATCH($B$14,Rules!$A$2:$A$200,0)),"")</x:f>
        <x:v>3</x:v>
      </x:c>
    </x:row>
    <x:row r="21">
      <x:c r="A21" s="23" t="inlineStr">
        <x:is>
          <x:t xml:space="preserve">RuleNotes</x:t>
        </x:is>
      </x:c>
      <x:c r="B21" s="24" t="str">
        <x:f>IFERROR(INDEX(Rules!$G$2:$G$200,MATCH($B$14,Rules!$A$2:$A$200,0)),"")</x:f>
        <x:v>Use small pan/ramekin; avoid tall cakes; cover top if browning.</x:v>
      </x:c>
    </x:row>
    <x:row r="23">
      <x:c r="A23" s="23" t="inlineStr">
        <x:is>
          <x:t xml:space="preserve">ContRow</x:t>
        </x:is>
      </x:c>
      <x:c r="B23" s="24">
        <x:f>IFERROR(MATCH(Dashboard!$B$14,Factors!$A$10:$A$15,0),"")</x:f>
        <x:v>1</x:v>
      </x:c>
    </x:row>
    <x:row r="24">
      <x:c r="A24" s="23" t="inlineStr">
        <x:is>
          <x:t xml:space="preserve">ContTempOff</x:t>
        </x:is>
      </x:c>
      <x:c r="B24" s="24">
        <x:f>IF($B$23="","",INDEX(Factors!$B$10:$B$15,$B$23))</x:f>
        <x:v>0</x:v>
      </x:c>
    </x:row>
    <x:row r="25">
      <x:c r="A25" s="23" t="inlineStr">
        <x:is>
          <x:t xml:space="preserve">ContTimeFac</x:t>
        </x:is>
      </x:c>
      <x:c r="B25" s="24">
        <x:f>IF($B$23="","",INDEX(Factors!$C$10:$C$15,$B$23))</x:f>
        <x:v>1</x:v>
      </x:c>
    </x:row>
    <x:row r="26">
      <x:c r="A26" s="23" t="inlineStr">
        <x:is>
          <x:t xml:space="preserve">ContNotes</x:t>
        </x:is>
      </x:c>
      <x:c r="B26" s="24" t="str">
        <x:f>IF($B$23="","",INDEX(Factors!$D$10:$D$15,$B$23))</x:f>
        <x:v>Baseline.</x:v>
      </x:c>
    </x:row>
    <x:row r="28">
      <x:c r="A28" s="23" t="inlineStr">
        <x:is>
          <x:t xml:space="preserve">RackRow</x:t>
        </x:is>
      </x:c>
      <x:c r="B28" s="24">
        <x:f>IFERROR(MATCH(Dashboard!$B$15,Factors!$A$20:$A$22,0),"")</x:f>
        <x:v>2</x:v>
      </x:c>
    </x:row>
    <x:row r="29">
      <x:c r="A29" s="23" t="inlineStr">
        <x:is>
          <x:t xml:space="preserve">RackTempOff</x:t>
        </x:is>
      </x:c>
      <x:c r="B29" s="24">
        <x:f>IF($B$28="","",INDEX(Factors!$B$20:$B$22,$B$28))</x:f>
        <x:v>0</x:v>
      </x:c>
    </x:row>
    <x:row r="30">
      <x:c r="A30" s="23" t="inlineStr">
        <x:is>
          <x:t xml:space="preserve">RackTimeFac</x:t>
        </x:is>
      </x:c>
      <x:c r="B30" s="24">
        <x:f>IF($B$28="","",INDEX(Factors!$C$20:$C$22,$B$28))</x:f>
        <x:v>1</x:v>
      </x:c>
    </x:row>
    <x:row r="31">
      <x:c r="A31" s="23" t="inlineStr">
        <x:is>
          <x:t xml:space="preserve">RackNotes</x:t>
        </x:is>
      </x:c>
      <x:c r="B31" s="24" t="str">
        <x:f>IF($B$28="","",INDEX(Factors!$D$20:$D$22,$B$28))</x:f>
        <x:v>Most even for baking/roasting.</x:v>
      </x:c>
    </x:row>
    <x:row r="33">
      <x:c r="A33" s="23" t="inlineStr">
        <x:is>
          <x:t xml:space="preserve">QtyExp</x:t>
        </x:is>
      </x:c>
      <x:c r="B33" s="24">
        <x:f>Factors!$B$2</x:f>
        <x:v>0.65</x:v>
      </x:c>
    </x:row>
    <x:row r="34">
      <x:c r="A34" s="23" t="inlineStr">
        <x:is>
          <x:t xml:space="preserve">ThkExp</x:t>
        </x:is>
      </x:c>
      <x:c r="B34" s="24">
        <x:f>Factors!$B$3</x:f>
        <x:v>0.5</x:v>
      </x:c>
    </x:row>
    <x:row r="35">
      <x:c r="A35" s="23" t="inlineStr">
        <x:is>
          <x:t xml:space="preserve">QtyFactor</x:t>
        </x:is>
      </x:c>
      <x:c r="B35" s="24">
        <x:f>IF(Dashboard!$B$12="","",POWER(Dashboard!$B$12,$B$33))</x:f>
        <x:v>1</x:v>
      </x:c>
    </x:row>
    <x:row r="36">
      <x:c r="A36" s="23" t="inlineStr">
        <x:is>
          <x:t xml:space="preserve">ThkFactor</x:t>
        </x:is>
      </x:c>
      <x:c r="B36" s="24">
        <x:f>IF(Dashboard!$B$13="","",POWER(Dashboard!$B$13,$B$34))</x:f>
        <x:v>1</x:v>
      </x:c>
    </x:row>
    <x:row r="37">
      <x:c r="A37" s="23" t="inlineStr">
        <x:is>
          <x:t xml:space="preserve">FrozenFactor</x:t>
        </x:is>
      </x:c>
      <x:c r="B37" s="24">
        <x:f>IF(Dashboard!$B$16="Yes",Factors!$B$4,1)</x:f>
        <x:v>1</x:v>
      </x:c>
    </x:row>
    <x:row r="38">
      <x:c r="A38" s="23" t="inlineStr">
        <x:is>
          <x:t xml:space="preserve">OverFactor</x:t>
        </x:is>
      </x:c>
      <x:c r="B38" s="24">
        <x:f>IF(Dashboard!$B$17="Yes",Factors!$B$5,1)</x:f>
        <x:v>1</x:v>
      </x:c>
    </x:row>
    <x:row r="40">
      <x:c r="A40" s="23" t="inlineStr">
        <x:is>
          <x:t xml:space="preserve">BaseTempTarget</x:t>
        </x:is>
      </x:c>
      <x:c r="B40" s="24">
        <x:f>ROUND($B$10 + ($B$18-$B$16),0)</x:f>
        <x:v>170</x:v>
      </x:c>
    </x:row>
    <x:row r="41">
      <x:c r="A41" s="23" t="inlineStr">
        <x:is>
          <x:t xml:space="preserve">BaseTimeTarget</x:t>
        </x:is>
      </x:c>
      <x:c r="B41" s="24">
        <x:f>($B$11 * ($B$19/$B$17))</x:f>
        <x:v>28.8</x:v>
      </x:c>
    </x:row>
    <x:row r="42">
      <x:c r="A42" s="23" t="inlineStr">
        <x:is>
          <x:t xml:space="preserve">FinalTemp</x:t>
        </x:is>
      </x:c>
      <x:c r="B42" s="24">
        <x:f>ROUND($B$40 + IF($B$24="",0,$B$24) + IF($B$29="",0,$B$29),0)</x:f>
        <x:v>170</x:v>
      </x:c>
    </x:row>
    <x:row r="43">
      <x:c r="A43" s="23" t="inlineStr">
        <x:is>
          <x:t xml:space="preserve">FinalTime</x:t>
        </x:is>
      </x:c>
      <x:c r="B43" s="24">
        <x:f>ROUND($B$41 * IF($B$25="",1,$B$25) * IF($B$30="",1,$B$30) * $B$35 * $B$36 * $B$37 * $B$38,0)</x:f>
        <x:v>29</x:v>
      </x:c>
    </x:row>
    <x:row r="44">
      <x:c r="A44" s="23" t="inlineStr">
        <x:is>
          <x:t xml:space="preserve">FinalPreheat</x:t>
        </x:is>
      </x:c>
      <x:c r="B44" s="24">
        <x:f>IF(Dashboard!$B$5="Use a preset",MAX($B$6,$B$20),$B$20)</x:f>
        <x:v>15</x:v>
      </x:c>
    </x:row>
    <x:row r="45">
      <x:c r="A45" s="23" t="inlineStr">
        <x:is>
          <x:t xml:space="preserve">FinalNotes</x:t>
        </x:is>
      </x:c>
      <x:c r="B45" s="24" t="str">
        <x:f>TRIM(IF(Dashboard!$B$5="Use a preset",$B$7,"") &amp; CHAR(10) &amp; "• " &amp; $B$21 &amp; CHAR(10) &amp; "• " &amp; $B$26 &amp; CHAR(10) &amp; "• " &amp; $B$31 &amp; CHAR(10) &amp; IF(Dashboard!$B$11="Air Fryer (Basket)","• Shake/flip half-way; keep a single layer.",""))</x:f>
        <x:v>Do not open early; toothpick test; cool before unmoulding.
• Use small pan/ramekin; avoid tall cakes; cover top if browning.
• Baseline.
• Most even for baking/roasting.
• Shake/flip half-way; keep a single layer.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customWidth="1"/>
    <x:col min="2" max="2" width="14" customWidth="1"/>
    <x:col min="3" max="3" width="34" customWidth="1"/>
    <x:col min="4" max="4" width="16" customWidth="1"/>
    <x:col min="5" max="5" width="10" customWidth="1"/>
    <x:col min="6" max="6" width="10" customWidth="1"/>
    <x:col min="7" max="7" width="14" customWidth="1"/>
    <x:col min="8" max="8" width="20" customWidth="1"/>
    <x:col min="9" max="9" width="12" customWidth="1"/>
    <x:col min="10" max="10" width="10" customWidth="1"/>
    <x:col min="11" max="11" width="60" customWidth="1"/>
  </x:cols>
  <x:sheetData>
    <x:row r="1" ht="22" customHeight="1">
      <x:c r="A1" s="12" t="inlineStr">
        <x:is>
          <x:t xml:space="preserve">DishID</x:t>
        </x:is>
      </x:c>
      <x:c r="B1" s="12" t="inlineStr">
        <x:is>
          <x:t xml:space="preserve">Category</x:t>
        </x:is>
      </x:c>
      <x:c r="C1" s="12" t="inlineStr">
        <x:is>
          <x:t xml:space="preserve">Dish</x:t>
        </x:is>
      </x:c>
      <x:c r="D1" s="12" t="inlineStr">
        <x:is>
          <x:t xml:space="preserve">ModeType</x:t>
        </x:is>
      </x:c>
      <x:c r="E1" s="12" t="inlineStr">
        <x:is>
          <x:t xml:space="preserve">BaseTempC</x:t>
        </x:is>
      </x:c>
      <x:c r="F1" s="12" t="inlineStr">
        <x:is>
          <x:t xml:space="preserve">BaseTimeMin</x:t>
        </x:is>
      </x:c>
      <x:c r="G1" s="12" t="inlineStr">
        <x:is>
          <x:t xml:space="preserve">BasePreheatMin</x:t>
        </x:is>
      </x:c>
      <x:c r="H1" s="12" t="inlineStr">
        <x:is>
          <x:t xml:space="preserve">DefaultContainer</x:t>
        </x:is>
      </x:c>
      <x:c r="I1" s="12" t="inlineStr">
        <x:is>
          <x:t xml:space="preserve">DefaultRack</x:t>
        </x:is>
      </x:c>
      <x:c r="J1" s="12" t="inlineStr">
        <x:is>
          <x:t xml:space="preserve">BaseQty</x:t>
        </x:is>
      </x:c>
      <x:c r="K1" s="12" t="inlineStr">
        <x:is>
          <x:t xml:space="preserve">Notes</x:t>
        </x:is>
      </x:c>
    </x:row>
    <x:row r="2">
      <x:c r="A2" s="13" t="inlineStr">
        <x:is>
          <x:t xml:space="preserve">D001</x:t>
        </x:is>
      </x:c>
      <x:c r="B2" s="13" t="inlineStr">
        <x:is>
          <x:t xml:space="preserve">Chicken</x:t>
        </x:is>
      </x:c>
      <x:c r="C2" s="13" t="inlineStr">
        <x:is>
          <x:t xml:space="preserve">Whole chicken roast (~1.2 kg)</x:t>
        </x:is>
      </x:c>
      <x:c r="D2" s="13" t="inlineStr">
        <x:is>
          <x:t xml:space="preserve">ROAST</x:t>
        </x:is>
      </x:c>
      <x:c r="E2" s="15" t="n">
        <x:v>200</x:v>
      </x:c>
      <x:c r="F2" s="15" t="n">
        <x:v>75</x:v>
      </x:c>
      <x:c r="G2" s="15" t="n">
        <x:v>12</x:v>
      </x:c>
      <x:c r="H2" s="13" t="inlineStr">
        <x:is>
          <x:t xml:space="preserve">Metal roasting pan</x:t>
        </x:is>
      </x:c>
      <x:c r="I2" s="13" t="inlineStr">
        <x:is>
          <x:t xml:space="preserve">Middle</x:t>
        </x:is>
      </x:c>
      <x:c r="J2" s="13" t="inlineStr">
        <x:is>
          <x:t xml:space="preserve">1x</x:t>
        </x:is>
      </x:c>
      <x:c r="K2" s="13" t="inlineStr">
        <x:is>
          <x:t xml:space="preserve">Turn pan once; cook to safe internal temp; rest 10 min.</x:t>
        </x:is>
      </x:c>
    </x:row>
    <x:row r="3">
      <x:c r="A3" s="13" t="inlineStr">
        <x:is>
          <x:t xml:space="preserve">D002</x:t>
        </x:is>
      </x:c>
      <x:c r="B3" s="13" t="inlineStr">
        <x:is>
          <x:t xml:space="preserve">Chicken</x:t>
        </x:is>
      </x:c>
      <x:c r="C3" s="13" t="inlineStr">
        <x:is>
          <x:t xml:space="preserve">Chicken thighs / drumsticks (bone-in)</x:t>
        </x:is>
      </x:c>
      <x:c r="D3" s="13" t="inlineStr">
        <x:is>
          <x:t xml:space="preserve">ROAST</x:t>
        </x:is>
      </x:c>
      <x:c r="E3" s="15" t="n">
        <x:v>220</x:v>
      </x:c>
      <x:c r="F3" s="15" t="n">
        <x:v>35</x:v>
      </x:c>
      <x:c r="G3" s="15" t="n">
        <x:v>12</x:v>
      </x:c>
      <x:c r="H3" s="13" t="inlineStr">
        <x:is>
          <x:t xml:space="preserve">Metal tray</x:t>
        </x:is>
      </x:c>
      <x:c r="I3" s="13" t="inlineStr">
        <x:is>
          <x:t xml:space="preserve">Middle</x:t>
        </x:is>
      </x:c>
      <x:c r="J3" s="13" t="inlineStr">
        <x:is>
          <x:t xml:space="preserve">1x</x:t>
        </x:is>
      </x:c>
      <x:c r="K3" s="13" t="inlineStr">
        <x:is>
          <x:t xml:space="preserve">Flip once; finish under top heat for extra browning if needed.</x:t>
        </x:is>
      </x:c>
    </x:row>
    <x:row r="4">
      <x:c r="A4" s="13" t="inlineStr">
        <x:is>
          <x:t xml:space="preserve">D003</x:t>
        </x:is>
      </x:c>
      <x:c r="B4" s="13" t="inlineStr">
        <x:is>
          <x:t xml:space="preserve">Chicken</x:t>
        </x:is>
      </x:c>
      <x:c r="C4" s="13" t="inlineStr">
        <x:is>
          <x:t xml:space="preserve">Chicken breast (boneless)</x:t>
        </x:is>
      </x:c>
      <x:c r="D4" s="13" t="inlineStr">
        <x:is>
          <x:t xml:space="preserve">ROAST</x:t>
        </x:is>
      </x:c>
      <x:c r="E4" s="15" t="n">
        <x:v>200</x:v>
      </x:c>
      <x:c r="F4" s="15" t="n">
        <x:v>22</x:v>
      </x:c>
      <x:c r="G4" s="15" t="n">
        <x:v>12</x:v>
      </x:c>
      <x:c r="H4" s="13" t="inlineStr">
        <x:is>
          <x:t xml:space="preserve">Metal tray</x:t>
        </x:is>
      </x:c>
      <x:c r="I4" s="13" t="inlineStr">
        <x:is>
          <x:t xml:space="preserve">Middle</x:t>
        </x:is>
      </x:c>
      <x:c r="J4" s="13" t="inlineStr">
        <x:is>
          <x:t xml:space="preserve">1x</x:t>
        </x:is>
      </x:c>
      <x:c r="K4" s="13" t="inlineStr">
        <x:is>
          <x:t xml:space="preserve">Avoid overcooking; consider brine; rest 5 min.</x:t>
        </x:is>
      </x:c>
    </x:row>
    <x:row r="5">
      <x:c r="A5" s="13" t="inlineStr">
        <x:is>
          <x:t xml:space="preserve">D004</x:t>
        </x:is>
      </x:c>
      <x:c r="B5" s="13" t="inlineStr">
        <x:is>
          <x:t xml:space="preserve">Chicken</x:t>
        </x:is>
      </x:c>
      <x:c r="C5" s="13" t="inlineStr">
        <x:is>
          <x:t xml:space="preserve">Tandoori-style chicken pieces</x:t>
        </x:is>
      </x:c>
      <x:c r="D5" s="13" t="inlineStr">
        <x:is>
          <x:t xml:space="preserve">GRILL_TOP</x:t>
        </x:is>
      </x:c>
      <x:c r="E5" s="15" t="n">
        <x:v>220</x:v>
      </x:c>
      <x:c r="F5" s="15" t="n">
        <x:v>28</x:v>
      </x:c>
      <x:c r="G5" s="15" t="n">
        <x:v>12</x:v>
      </x:c>
      <x:c r="H5" s="13" t="inlineStr">
        <x:is>
          <x:t xml:space="preserve">Wire rack over tray</x:t>
        </x:is>
      </x:c>
      <x:c r="I5" s="13" t="inlineStr">
        <x:is>
          <x:t xml:space="preserve">Top</x:t>
        </x:is>
      </x:c>
      <x:c r="J5" s="13" t="inlineStr">
        <x:is>
          <x:t xml:space="preserve">1x</x:t>
        </x:is>
      </x:c>
      <x:c r="K5" s="13" t="inlineStr">
        <x:is>
          <x:t xml:space="preserve">Brush oil/ghee; flip; char under top heat at end.</x:t>
        </x:is>
      </x:c>
    </x:row>
    <x:row r="6">
      <x:c r="A6" s="13" t="inlineStr">
        <x:is>
          <x:t xml:space="preserve">D005</x:t>
        </x:is>
      </x:c>
      <x:c r="B6" s="13" t="inlineStr">
        <x:is>
          <x:t xml:space="preserve">Chicken</x:t>
        </x:is>
      </x:c>
      <x:c r="C6" s="13" t="inlineStr">
        <x:is>
          <x:t xml:space="preserve">Chicken wings (crispy)</x:t>
        </x:is>
      </x:c>
      <x:c r="D6" s="13" t="inlineStr">
        <x:is>
          <x:t xml:space="preserve">ROAST</x:t>
        </x:is>
      </x:c>
      <x:c r="E6" s="15" t="n">
        <x:v>230</x:v>
      </x:c>
      <x:c r="F6" s="15" t="n">
        <x:v>35</x:v>
      </x:c>
      <x:c r="G6" s="15" t="n">
        <x:v>12</x:v>
      </x:c>
      <x:c r="H6" s="13" t="inlineStr">
        <x:is>
          <x:t xml:space="preserve">Wire rack over tray</x:t>
        </x:is>
      </x:c>
      <x:c r="I6" s="13" t="inlineStr">
        <x:is>
          <x:t xml:space="preserve">Top</x:t>
        </x:is>
      </x:c>
      <x:c r="J6" s="13" t="inlineStr">
        <x:is>
          <x:t xml:space="preserve">1x</x:t>
        </x:is>
      </x:c>
      <x:c r="K6" s="13" t="inlineStr">
        <x:is>
          <x:t xml:space="preserve">Dry wings; flip; finish 3–5 min under top heat.</x:t>
        </x:is>
      </x:c>
    </x:row>
    <x:row r="7">
      <x:c r="A7" s="13" t="inlineStr">
        <x:is>
          <x:t xml:space="preserve">D006</x:t>
        </x:is>
      </x:c>
      <x:c r="B7" s="13" t="inlineStr">
        <x:is>
          <x:t xml:space="preserve">Chicken</x:t>
        </x:is>
      </x:c>
      <x:c r="C7" s="13" t="inlineStr">
        <x:is>
          <x:t xml:space="preserve">Chicken nuggets (frozen)</x:t>
        </x:is>
      </x:c>
      <x:c r="D7" s="13" t="inlineStr">
        <x:is>
          <x:t xml:space="preserve">REHEAT_CRISP</x:t>
        </x:is>
      </x:c>
      <x:c r="E7" s="15" t="n">
        <x:v>220</x:v>
      </x:c>
      <x:c r="F7" s="15" t="n">
        <x:v>14</x:v>
      </x:c>
      <x:c r="G7" s="15" t="n">
        <x:v>8</x:v>
      </x:c>
      <x:c r="H7" s="13" t="inlineStr">
        <x:is>
          <x:t xml:space="preserve">Tray/basket</x:t>
        </x:is>
      </x:c>
      <x:c r="I7" s="13" t="inlineStr">
        <x:is>
          <x:t xml:space="preserve">Middle</x:t>
        </x:is>
      </x:c>
      <x:c r="J7" s="13" t="inlineStr">
        <x:is>
          <x:t xml:space="preserve">1x</x:t>
        </x:is>
      </x:c>
      <x:c r="K7" s="13" t="inlineStr">
        <x:is>
          <x:t xml:space="preserve">Shake/flip half-way; add 2–3 min if extra crisp.</x:t>
        </x:is>
      </x:c>
    </x:row>
    <x:row r="8">
      <x:c r="A8" s="13" t="inlineStr">
        <x:is>
          <x:t xml:space="preserve">D007</x:t>
        </x:is>
      </x:c>
      <x:c r="B8" s="13" t="inlineStr">
        <x:is>
          <x:t xml:space="preserve">Fish</x:t>
        </x:is>
      </x:c>
      <x:c r="C8" s="13" t="inlineStr">
        <x:is>
          <x:t xml:space="preserve">White fish fillets (2 cm)</x:t>
        </x:is>
      </x:c>
      <x:c r="D8" s="13" t="inlineStr">
        <x:is>
          <x:t xml:space="preserve">ROAST</x:t>
        </x:is>
      </x:c>
      <x:c r="E8" s="15" t="n">
        <x:v>200</x:v>
      </x:c>
      <x:c r="F8" s="15" t="n">
        <x:v>14</x:v>
      </x:c>
      <x:c r="G8" s="15" t="n">
        <x:v>10</x:v>
      </x:c>
      <x:c r="H8" s="13" t="inlineStr">
        <x:is>
          <x:t xml:space="preserve">Metal tray</x:t>
        </x:is>
      </x:c>
      <x:c r="I8" s="13" t="inlineStr">
        <x:is>
          <x:t xml:space="preserve">Middle</x:t>
        </x:is>
      </x:c>
      <x:c r="J8" s="13" t="inlineStr">
        <x:is>
          <x:t xml:space="preserve">1x</x:t>
        </x:is>
      </x:c>
      <x:c r="K8" s="13" t="inlineStr">
        <x:is>
          <x:t xml:space="preserve">Brush oil; don’t overcook; use foil if drying.</x:t>
        </x:is>
      </x:c>
    </x:row>
    <x:row r="9">
      <x:c r="A9" s="13" t="inlineStr">
        <x:is>
          <x:t xml:space="preserve">D008</x:t>
        </x:is>
      </x:c>
      <x:c r="B9" s="13" t="inlineStr">
        <x:is>
          <x:t xml:space="preserve">Fish</x:t>
        </x:is>
      </x:c>
      <x:c r="C9" s="13" t="inlineStr">
        <x:is>
          <x:t xml:space="preserve">Salmon fillet (2–3 cm)</x:t>
        </x:is>
      </x:c>
      <x:c r="D9" s="13" t="inlineStr">
        <x:is>
          <x:t xml:space="preserve">ROAST</x:t>
        </x:is>
      </x:c>
      <x:c r="E9" s="15" t="n">
        <x:v>200</x:v>
      </x:c>
      <x:c r="F9" s="15" t="n">
        <x:v>16</x:v>
      </x:c>
      <x:c r="G9" s="15" t="n">
        <x:v>10</x:v>
      </x:c>
      <x:c r="H9" s="13" t="inlineStr">
        <x:is>
          <x:t xml:space="preserve">Metal tray</x:t>
        </x:is>
      </x:c>
      <x:c r="I9" s="13" t="inlineStr">
        <x:is>
          <x:t xml:space="preserve">Middle</x:t>
        </x:is>
      </x:c>
      <x:c r="J9" s="13" t="inlineStr">
        <x:is>
          <x:t xml:space="preserve">1x</x:t>
        </x:is>
      </x:c>
      <x:c r="K9" s="13" t="inlineStr">
        <x:is>
          <x:t xml:space="preserve">Best slightly underdone; rest 3 min.</x:t>
        </x:is>
      </x:c>
    </x:row>
    <x:row r="10">
      <x:c r="A10" s="13" t="inlineStr">
        <x:is>
          <x:t xml:space="preserve">D009</x:t>
        </x:is>
      </x:c>
      <x:c r="B10" s="13" t="inlineStr">
        <x:is>
          <x:t xml:space="preserve">Fish</x:t>
        </x:is>
      </x:c>
      <x:c r="C10" s="13" t="inlineStr">
        <x:is>
          <x:t xml:space="preserve">Fish tikka / kebabs</x:t>
        </x:is>
      </x:c>
      <x:c r="D10" s="13" t="inlineStr">
        <x:is>
          <x:t xml:space="preserve">GRILL_TOP</x:t>
        </x:is>
      </x:c>
      <x:c r="E10" s="15" t="n">
        <x:v>220</x:v>
      </x:c>
      <x:c r="F10" s="15" t="n">
        <x:v>14</x:v>
      </x:c>
      <x:c r="G10" s="15" t="n">
        <x:v>10</x:v>
      </x:c>
      <x:c r="H10" s="13" t="inlineStr">
        <x:is>
          <x:t xml:space="preserve">Skewers on rack</x:t>
        </x:is>
      </x:c>
      <x:c r="I10" s="13" t="inlineStr">
        <x:is>
          <x:t xml:space="preserve">Top</x:t>
        </x:is>
      </x:c>
      <x:c r="J10" s="13" t="inlineStr">
        <x:is>
          <x:t xml:space="preserve">1x</x:t>
        </x:is>
      </x:c>
      <x:c r="K10" s="13" t="inlineStr">
        <x:is>
          <x:t xml:space="preserve">Flip once; watch browning; finish with top heat.</x:t>
        </x:is>
      </x:c>
    </x:row>
    <x:row r="11">
      <x:c r="A11" s="13" t="inlineStr">
        <x:is>
          <x:t xml:space="preserve">D010</x:t>
        </x:is>
      </x:c>
      <x:c r="B11" s="13" t="inlineStr">
        <x:is>
          <x:t xml:space="preserve">Seafood</x:t>
        </x:is>
      </x:c>
      <x:c r="C11" s="13" t="inlineStr">
        <x:is>
          <x:t xml:space="preserve">Prawns/shrimp (marinated)</x:t>
        </x:is>
      </x:c>
      <x:c r="D11" s="13" t="inlineStr">
        <x:is>
          <x:t xml:space="preserve">GRILL_TOP</x:t>
        </x:is>
      </x:c>
      <x:c r="E11" s="15" t="n">
        <x:v>220</x:v>
      </x:c>
      <x:c r="F11" s="15" t="n">
        <x:v>8</x:v>
      </x:c>
      <x:c r="G11" s="15" t="n">
        <x:v>8</x:v>
      </x:c>
      <x:c r="H11" s="13" t="inlineStr">
        <x:is>
          <x:t xml:space="preserve">Skewers/tray</x:t>
        </x:is>
      </x:c>
      <x:c r="I11" s="13" t="inlineStr">
        <x:is>
          <x:t xml:space="preserve">Top</x:t>
        </x:is>
      </x:c>
      <x:c r="J11" s="13" t="inlineStr">
        <x:is>
          <x:t xml:space="preserve">1x</x:t>
        </x:is>
      </x:c>
      <x:c r="K11" s="13" t="inlineStr">
        <x:is>
          <x:t xml:space="preserve">Cook fast; flip once.</x:t>
        </x:is>
      </x:c>
    </x:row>
    <x:row r="12">
      <x:c r="A12" s="13" t="inlineStr">
        <x:is>
          <x:t xml:space="preserve">D011</x:t>
        </x:is>
      </x:c>
      <x:c r="B12" s="13" t="inlineStr">
        <x:is>
          <x:t xml:space="preserve">Vegetables</x:t>
        </x:is>
      </x:c>
      <x:c r="C12" s="13" t="inlineStr">
        <x:is>
          <x:t xml:space="preserve">Roasted mixed veggies (bite-size)</x:t>
        </x:is>
      </x:c>
      <x:c r="D12" s="13" t="inlineStr">
        <x:is>
          <x:t xml:space="preserve">ROAST</x:t>
        </x:is>
      </x:c>
      <x:c r="E12" s="15" t="n">
        <x:v>220</x:v>
      </x:c>
      <x:c r="F12" s="15" t="n">
        <x:v>22</x:v>
      </x:c>
      <x:c r="G12" s="15" t="n">
        <x:v>12</x:v>
      </x:c>
      <x:c r="H12" s="13" t="inlineStr">
        <x:is>
          <x:t xml:space="preserve">Metal tray</x:t>
        </x:is>
      </x:c>
      <x:c r="I12" s="13" t="inlineStr">
        <x:is>
          <x:t xml:space="preserve">Top</x:t>
        </x:is>
      </x:c>
      <x:c r="J12" s="13" t="inlineStr">
        <x:is>
          <x:t xml:space="preserve">1x</x:t>
        </x:is>
      </x:c>
      <x:c r="K12" s="13" t="inlineStr">
        <x:is>
          <x:t xml:space="preserve">Don’t overcrowd; toss once; add 5 min for more caramelization.</x:t>
        </x:is>
      </x:c>
    </x:row>
    <x:row r="13">
      <x:c r="A13" s="13" t="inlineStr">
        <x:is>
          <x:t xml:space="preserve">D012</x:t>
        </x:is>
      </x:c>
      <x:c r="B13" s="13" t="inlineStr">
        <x:is>
          <x:t xml:space="preserve">Vegetables</x:t>
        </x:is>
      </x:c>
      <x:c r="C13" s="13" t="inlineStr">
        <x:is>
          <x:t xml:space="preserve">Cauliflower florets (gobi roast)</x:t>
        </x:is>
      </x:c>
      <x:c r="D13" s="13" t="inlineStr">
        <x:is>
          <x:t xml:space="preserve">ROAST</x:t>
        </x:is>
      </x:c>
      <x:c r="E13" s="15" t="n">
        <x:v>230</x:v>
      </x:c>
      <x:c r="F13" s="15" t="n">
        <x:v>25</x:v>
      </x:c>
      <x:c r="G13" s="15" t="n">
        <x:v>12</x:v>
      </x:c>
      <x:c r="H13" s="13" t="inlineStr">
        <x:is>
          <x:t xml:space="preserve">Metal tray</x:t>
        </x:is>
      </x:c>
      <x:c r="I13" s="13" t="inlineStr">
        <x:is>
          <x:t xml:space="preserve">Top</x:t>
        </x:is>
      </x:c>
      <x:c r="J13" s="13" t="inlineStr">
        <x:is>
          <x:t xml:space="preserve">1x</x:t>
        </x:is>
      </x:c>
      <x:c r="K13" s="13" t="inlineStr">
        <x:is>
          <x:t xml:space="preserve">Toss once; finish with top heat if desired.</x:t>
        </x:is>
      </x:c>
    </x:row>
    <x:row r="14">
      <x:c r="A14" s="13" t="inlineStr">
        <x:is>
          <x:t xml:space="preserve">D013</x:t>
        </x:is>
      </x:c>
      <x:c r="B14" s="13" t="inlineStr">
        <x:is>
          <x:t xml:space="preserve">Vegetables</x:t>
        </x:is>
      </x:c>
      <x:c r="C14" s="13" t="inlineStr">
        <x:is>
          <x:t xml:space="preserve">Potato wedges</x:t>
        </x:is>
      </x:c>
      <x:c r="D14" s="13" t="inlineStr">
        <x:is>
          <x:t xml:space="preserve">ROAST</x:t>
        </x:is>
      </x:c>
      <x:c r="E14" s="15" t="n">
        <x:v>230</x:v>
      </x:c>
      <x:c r="F14" s="15" t="n">
        <x:v>40</x:v>
      </x:c>
      <x:c r="G14" s="15" t="n">
        <x:v>12</x:v>
      </x:c>
      <x:c r="H14" s="13" t="inlineStr">
        <x:is>
          <x:t xml:space="preserve">Metal tray</x:t>
        </x:is>
      </x:c>
      <x:c r="I14" s="13" t="inlineStr">
        <x:is>
          <x:t xml:space="preserve">Top</x:t>
        </x:is>
      </x:c>
      <x:c r="J14" s="13" t="inlineStr">
        <x:is>
          <x:t xml:space="preserve">1x</x:t>
        </x:is>
      </x:c>
      <x:c r="K14" s="13" t="inlineStr">
        <x:is>
          <x:t xml:space="preserve">Parboil for faster; flip twice for even browning.</x:t>
        </x:is>
      </x:c>
    </x:row>
    <x:row r="15">
      <x:c r="A15" s="13" t="inlineStr">
        <x:is>
          <x:t xml:space="preserve">D014</x:t>
        </x:is>
      </x:c>
      <x:c r="B15" s="13" t="inlineStr">
        <x:is>
          <x:t xml:space="preserve">Vegetables</x:t>
        </x:is>
      </x:c>
      <x:c r="C15" s="13" t="inlineStr">
        <x:is>
          <x:t xml:space="preserve">Stuffed bell peppers</x:t>
        </x:is>
      </x:c>
      <x:c r="D15" s="13" t="inlineStr">
        <x:is>
          <x:t xml:space="preserve">ROAST</x:t>
        </x:is>
      </x:c>
      <x:c r="E15" s="15" t="n">
        <x:v>200</x:v>
      </x:c>
      <x:c r="F15" s="15" t="n">
        <x:v>30</x:v>
      </x:c>
      <x:c r="G15" s="15" t="n">
        <x:v>12</x:v>
      </x:c>
      <x:c r="H15" s="13" t="inlineStr">
        <x:is>
          <x:t xml:space="preserve">Baking dish</x:t>
        </x:is>
      </x:c>
      <x:c r="I15" s="13" t="inlineStr">
        <x:is>
          <x:t xml:space="preserve">Middle</x:t>
        </x:is>
      </x:c>
      <x:c r="J15" s="13" t="inlineStr">
        <x:is>
          <x:t xml:space="preserve">1x</x:t>
        </x:is>
      </x:c>
      <x:c r="K15" s="13" t="inlineStr">
        <x:is>
          <x:t xml:space="preserve">Cover for first 20 min; uncover to brown.</x:t>
        </x:is>
      </x:c>
    </x:row>
    <x:row r="16">
      <x:c r="A16" s="13" t="inlineStr">
        <x:is>
          <x:t xml:space="preserve">D015</x:t>
        </x:is>
      </x:c>
      <x:c r="B16" s="13" t="inlineStr">
        <x:is>
          <x:t xml:space="preserve">Vegetables</x:t>
        </x:is>
      </x:c>
      <x:c r="C16" s="13" t="inlineStr">
        <x:is>
          <x:t xml:space="preserve">Baked sweet potato (whole)</x:t>
        </x:is>
      </x:c>
      <x:c r="D16" s="13" t="inlineStr">
        <x:is>
          <x:t xml:space="preserve">ROAST</x:t>
        </x:is>
      </x:c>
      <x:c r="E16" s="15" t="n">
        <x:v>200</x:v>
      </x:c>
      <x:c r="F16" s="15" t="n">
        <x:v>55</x:v>
      </x:c>
      <x:c r="G16" s="15" t="n">
        <x:v>12</x:v>
      </x:c>
      <x:c r="H16" s="13" t="inlineStr">
        <x:is>
          <x:t xml:space="preserve">Direct on rack/tray</x:t>
        </x:is>
      </x:c>
      <x:c r="I16" s="13" t="inlineStr">
        <x:is>
          <x:t xml:space="preserve">Middle</x:t>
        </x:is>
      </x:c>
      <x:c r="J16" s="13" t="inlineStr">
        <x:is>
          <x:t xml:space="preserve">1x</x:t>
        </x:is>
      </x:c>
      <x:c r="K16" s="13" t="inlineStr">
        <x:is>
          <x:t xml:space="preserve">Pierce; time varies by size.</x:t>
        </x:is>
      </x:c>
    </x:row>
    <x:row r="17">
      <x:c r="A17" s="13" t="inlineStr">
        <x:is>
          <x:t xml:space="preserve">D016</x:t>
        </x:is>
      </x:c>
      <x:c r="B17" s="13" t="inlineStr">
        <x:is>
          <x:t xml:space="preserve">Vegetables</x:t>
        </x:is>
      </x:c>
      <x:c r="C17" s="13" t="inlineStr">
        <x:is>
          <x:t xml:space="preserve">Paneer tikka</x:t>
        </x:is>
      </x:c>
      <x:c r="D17" s="13" t="inlineStr">
        <x:is>
          <x:t xml:space="preserve">GRILL_TOP</x:t>
        </x:is>
      </x:c>
      <x:c r="E17" s="15" t="n">
        <x:v>220</x:v>
      </x:c>
      <x:c r="F17" s="15" t="n">
        <x:v>16</x:v>
      </x:c>
      <x:c r="G17" s="15" t="n">
        <x:v>10</x:v>
      </x:c>
      <x:c r="H17" s="13" t="inlineStr">
        <x:is>
          <x:t xml:space="preserve">Rack/tray</x:t>
        </x:is>
      </x:c>
      <x:c r="I17" s="13" t="inlineStr">
        <x:is>
          <x:t xml:space="preserve">Top</x:t>
        </x:is>
      </x:c>
      <x:c r="J17" s="13" t="inlineStr">
        <x:is>
          <x:t xml:space="preserve">1x</x:t>
        </x:is>
      </x:c>
      <x:c r="K17" s="13" t="inlineStr">
        <x:is>
          <x:t xml:space="preserve">Flip once; brush fat; char briefly at end.</x:t>
        </x:is>
      </x:c>
    </x:row>
    <x:row r="18">
      <x:c r="A18" s="13" t="inlineStr">
        <x:is>
          <x:t xml:space="preserve">D017</x:t>
        </x:is>
      </x:c>
      <x:c r="B18" s="13" t="inlineStr">
        <x:is>
          <x:t xml:space="preserve">Baking</x:t>
        </x:is>
      </x:c>
      <x:c r="C18" s="13" t="inlineStr">
        <x:is>
          <x:t xml:space="preserve">Vanilla sponge cake (8-inch)</x:t>
        </x:is>
      </x:c>
      <x:c r="D18" s="13" t="inlineStr">
        <x:is>
          <x:t xml:space="preserve">BAKE_DELICATE</x:t>
        </x:is>
      </x:c>
      <x:c r="E18" s="15" t="n">
        <x:v>180</x:v>
      </x:c>
      <x:c r="F18" s="15" t="n">
        <x:v>32</x:v>
      </x:c>
      <x:c r="G18" s="15" t="n">
        <x:v>15</x:v>
      </x:c>
      <x:c r="H18" s="13" t="inlineStr">
        <x:is>
          <x:t xml:space="preserve">Cake tin</x:t>
        </x:is>
      </x:c>
      <x:c r="I18" s="13" t="inlineStr">
        <x:is>
          <x:t xml:space="preserve">Middle</x:t>
        </x:is>
      </x:c>
      <x:c r="J18" s="13" t="inlineStr">
        <x:is>
          <x:t xml:space="preserve">1x</x:t>
        </x:is>
      </x:c>
      <x:c r="K18" s="13" t="inlineStr">
        <x:is>
          <x:t xml:space="preserve">Do not open early; toothpick test; cool before unmoulding.</x:t>
        </x:is>
      </x:c>
    </x:row>
    <x:row r="19">
      <x:c r="A19" s="13" t="inlineStr">
        <x:is>
          <x:t xml:space="preserve">D018</x:t>
        </x:is>
      </x:c>
      <x:c r="B19" s="13" t="inlineStr">
        <x:is>
          <x:t xml:space="preserve">Baking</x:t>
        </x:is>
      </x:c>
      <x:c r="C19" s="13" t="inlineStr">
        <x:is>
          <x:t xml:space="preserve">Chocolate cake (8-inch)</x:t>
        </x:is>
      </x:c>
      <x:c r="D19" s="13" t="inlineStr">
        <x:is>
          <x:t xml:space="preserve">BAKE_DELICATE</x:t>
        </x:is>
      </x:c>
      <x:c r="E19" s="15" t="n">
        <x:v>175</x:v>
      </x:c>
      <x:c r="F19" s="15" t="n">
        <x:v>38</x:v>
      </x:c>
      <x:c r="G19" s="15" t="n">
        <x:v>15</x:v>
      </x:c>
      <x:c r="H19" s="13" t="inlineStr">
        <x:is>
          <x:t xml:space="preserve">Cake tin</x:t>
        </x:is>
      </x:c>
      <x:c r="I19" s="13" t="inlineStr">
        <x:is>
          <x:t xml:space="preserve">Middle</x:t>
        </x:is>
      </x:c>
      <x:c r="J19" s="13" t="inlineStr">
        <x:is>
          <x:t xml:space="preserve">1x</x:t>
        </x:is>
      </x:c>
      <x:c r="K19" s="13" t="inlineStr">
        <x:is>
          <x:t xml:space="preserve">Cover top with foil if browning too fast.</x:t>
        </x:is>
      </x:c>
    </x:row>
    <x:row r="20">
      <x:c r="A20" s="13" t="inlineStr">
        <x:is>
          <x:t xml:space="preserve">D019</x:t>
        </x:is>
      </x:c>
      <x:c r="B20" s="13" t="inlineStr">
        <x:is>
          <x:t xml:space="preserve">Baking</x:t>
        </x:is>
      </x:c>
      <x:c r="C20" s="13" t="inlineStr">
        <x:is>
          <x:t xml:space="preserve">Banana bread / loaf (9x5)</x:t>
        </x:is>
      </x:c>
      <x:c r="D20" s="13" t="inlineStr">
        <x:is>
          <x:t xml:space="preserve">BAKE_STANDARD</x:t>
        </x:is>
      </x:c>
      <x:c r="E20" s="15" t="n">
        <x:v>175</x:v>
      </x:c>
      <x:c r="F20" s="15" t="n">
        <x:v>55</x:v>
      </x:c>
      <x:c r="G20" s="15" t="n">
        <x:v>15</x:v>
      </x:c>
      <x:c r="H20" s="13" t="inlineStr">
        <x:is>
          <x:t xml:space="preserve">Loaf pan</x:t>
        </x:is>
      </x:c>
      <x:c r="I20" s="13" t="inlineStr">
        <x:is>
          <x:t xml:space="preserve">Middle</x:t>
        </x:is>
      </x:c>
      <x:c r="J20" s="13" t="inlineStr">
        <x:is>
          <x:t xml:space="preserve">1x</x:t>
        </x:is>
      </x:c>
      <x:c r="K20" s="13" t="inlineStr">
        <x:is>
          <x:t xml:space="preserve">Check at 45 min; tent with foil if needed.</x:t>
        </x:is>
      </x:c>
    </x:row>
    <x:row r="21">
      <x:c r="A21" s="13" t="inlineStr">
        <x:is>
          <x:t xml:space="preserve">D020</x:t>
        </x:is>
      </x:c>
      <x:c r="B21" s="13" t="inlineStr">
        <x:is>
          <x:t xml:space="preserve">Baking</x:t>
        </x:is>
      </x:c>
      <x:c r="C21" s="13" t="inlineStr">
        <x:is>
          <x:t xml:space="preserve">Muffins (12)</x:t>
        </x:is>
      </x:c>
      <x:c r="D21" s="13" t="inlineStr">
        <x:is>
          <x:t xml:space="preserve">BAKE_STANDARD</x:t>
        </x:is>
      </x:c>
      <x:c r="E21" s="15" t="n">
        <x:v>180</x:v>
      </x:c>
      <x:c r="F21" s="15" t="n">
        <x:v>18</x:v>
      </x:c>
      <x:c r="G21" s="15" t="n">
        <x:v>12</x:v>
      </x:c>
      <x:c r="H21" s="13" t="inlineStr">
        <x:is>
          <x:t xml:space="preserve">Muffin tray</x:t>
        </x:is>
      </x:c>
      <x:c r="I21" s="13" t="inlineStr">
        <x:is>
          <x:t xml:space="preserve">Middle</x:t>
        </x:is>
      </x:c>
      <x:c r="J21" s="13" t="inlineStr">
        <x:is>
          <x:t xml:space="preserve">1x</x:t>
        </x:is>
      </x:c>
      <x:c r="K21" s="13" t="inlineStr">
        <x:is>
          <x:t xml:space="preserve">Don’t overmix; rotate once if uneven.</x:t>
        </x:is>
      </x:c>
    </x:row>
    <x:row r="22">
      <x:c r="A22" s="13" t="inlineStr">
        <x:is>
          <x:t xml:space="preserve">D021</x:t>
        </x:is>
      </x:c>
      <x:c r="B22" s="13" t="inlineStr">
        <x:is>
          <x:t xml:space="preserve">Baking</x:t>
        </x:is>
      </x:c>
      <x:c r="C22" s="13" t="inlineStr">
        <x:is>
          <x:t xml:space="preserve">Cupcakes (12)</x:t>
        </x:is>
      </x:c>
      <x:c r="D22" s="13" t="inlineStr">
        <x:is>
          <x:t xml:space="preserve">BAKE_DELICATE</x:t>
        </x:is>
      </x:c>
      <x:c r="E22" s="15" t="n">
        <x:v>175</x:v>
      </x:c>
      <x:c r="F22" s="15" t="n">
        <x:v>16</x:v>
      </x:c>
      <x:c r="G22" s="15" t="n">
        <x:v>12</x:v>
      </x:c>
      <x:c r="H22" s="13" t="inlineStr">
        <x:is>
          <x:t xml:space="preserve">Cupcake tray</x:t>
        </x:is>
      </x:c>
      <x:c r="I22" s="13" t="inlineStr">
        <x:is>
          <x:t xml:space="preserve">Middle</x:t>
        </x:is>
      </x:c>
      <x:c r="J22" s="13" t="inlineStr">
        <x:is>
          <x:t xml:space="preserve">1x</x:t>
        </x:is>
      </x:c>
      <x:c r="K22" s="13" t="inlineStr">
        <x:is>
          <x:t xml:space="preserve">Check at 14 min; cool before frosting.</x:t>
        </x:is>
      </x:c>
    </x:row>
    <x:row r="23">
      <x:c r="A23" s="13" t="inlineStr">
        <x:is>
          <x:t xml:space="preserve">D022</x:t>
        </x:is>
      </x:c>
      <x:c r="B23" s="13" t="inlineStr">
        <x:is>
          <x:t xml:space="preserve">Baking</x:t>
        </x:is>
      </x:c>
      <x:c r="C23" s="13" t="inlineStr">
        <x:is>
          <x:t xml:space="preserve">Brownies (8-inch pan)</x:t>
        </x:is>
      </x:c>
      <x:c r="D23" s="13" t="inlineStr">
        <x:is>
          <x:t xml:space="preserve">BAKE_STANDARD</x:t>
        </x:is>
      </x:c>
      <x:c r="E23" s="15" t="n">
        <x:v>180</x:v>
      </x:c>
      <x:c r="F23" s="15" t="n">
        <x:v>25</x:v>
      </x:c>
      <x:c r="G23" s="15" t="n">
        <x:v>12</x:v>
      </x:c>
      <x:c r="H23" s="13" t="inlineStr">
        <x:is>
          <x:t xml:space="preserve">Square pan</x:t>
        </x:is>
      </x:c>
      <x:c r="I23" s="13" t="inlineStr">
        <x:is>
          <x:t xml:space="preserve">Middle</x:t>
        </x:is>
      </x:c>
      <x:c r="J23" s="13" t="inlineStr">
        <x:is>
          <x:t xml:space="preserve">1x</x:t>
        </x:is>
      </x:c>
      <x:c r="K23" s="13" t="inlineStr">
        <x:is>
          <x:t xml:space="preserve">For fudgy: slight underbake; cool fully before slicing.</x:t>
        </x:is>
      </x:c>
    </x:row>
    <x:row r="24">
      <x:c r="A24" s="13" t="inlineStr">
        <x:is>
          <x:t xml:space="preserve">D023</x:t>
        </x:is>
      </x:c>
      <x:c r="B24" s="13" t="inlineStr">
        <x:is>
          <x:t xml:space="preserve">Baking</x:t>
        </x:is>
      </x:c>
      <x:c r="C24" s="13" t="inlineStr">
        <x:is>
          <x:t xml:space="preserve">Chocolate chip cookies</x:t>
        </x:is>
      </x:c>
      <x:c r="D24" s="13" t="inlineStr">
        <x:is>
          <x:t xml:space="preserve">BAKE_STANDARD</x:t>
        </x:is>
      </x:c>
      <x:c r="E24" s="15" t="n">
        <x:v>175</x:v>
      </x:c>
      <x:c r="F24" s="15" t="n">
        <x:v>12</x:v>
      </x:c>
      <x:c r="G24" s="15" t="n">
        <x:v>12</x:v>
      </x:c>
      <x:c r="H24" s="13" t="inlineStr">
        <x:is>
          <x:t xml:space="preserve">Flat tray</x:t>
        </x:is>
      </x:c>
      <x:c r="I24" s="13" t="inlineStr">
        <x:is>
          <x:t xml:space="preserve">Middle</x:t>
        </x:is>
      </x:c>
      <x:c r="J24" s="13" t="inlineStr">
        <x:is>
          <x:t xml:space="preserve">1x</x:t>
        </x:is>
      </x:c>
      <x:c r="K24" s="13" t="inlineStr">
        <x:is>
          <x:t xml:space="preserve">Bake one tray at a time for consistency.</x:t>
        </x:is>
      </x:c>
    </x:row>
    <x:row r="25">
      <x:c r="A25" s="13" t="inlineStr">
        <x:is>
          <x:t xml:space="preserve">D024</x:t>
        </x:is>
      </x:c>
      <x:c r="B25" s="13" t="inlineStr">
        <x:is>
          <x:t xml:space="preserve">Baking</x:t>
        </x:is>
      </x:c>
      <x:c r="C25" s="13" t="inlineStr">
        <x:is>
          <x:t xml:space="preserve">Pizza base / flatbread</x:t>
        </x:is>
      </x:c>
      <x:c r="D25" s="13" t="inlineStr">
        <x:is>
          <x:t xml:space="preserve">BAKE_STANDARD</x:t>
        </x:is>
      </x:c>
      <x:c r="E25" s="15" t="n">
        <x:v>240</x:v>
      </x:c>
      <x:c r="F25" s="15" t="n">
        <x:v>10</x:v>
      </x:c>
      <x:c r="G25" s="15" t="n">
        <x:v>15</x:v>
      </x:c>
      <x:c r="H25" s="13" t="inlineStr">
        <x:is>
          <x:t xml:space="preserve">Pizza stone/tray</x:t>
        </x:is>
      </x:c>
      <x:c r="I25" s="13" t="inlineStr">
        <x:is>
          <x:t xml:space="preserve">Bottom</x:t>
        </x:is>
      </x:c>
      <x:c r="J25" s="13" t="inlineStr">
        <x:is>
          <x:t xml:space="preserve">1x</x:t>
        </x:is>
      </x:c>
      <x:c r="K25" s="13" t="inlineStr">
        <x:is>
          <x:t xml:space="preserve">Preheat well; use bottom rack for crisp base.</x:t>
        </x:is>
      </x:c>
    </x:row>
    <x:row r="26">
      <x:c r="A26" s="13" t="inlineStr">
        <x:is>
          <x:t xml:space="preserve">D025</x:t>
        </x:is>
      </x:c>
      <x:c r="B26" s="13" t="inlineStr">
        <x:is>
          <x:t xml:space="preserve">Baking</x:t>
        </x:is>
      </x:c>
      <x:c r="C26" s="13" t="inlineStr">
        <x:is>
          <x:t xml:space="preserve">Garlic bread / toast</x:t>
        </x:is>
      </x:c>
      <x:c r="D26" s="13" t="inlineStr">
        <x:is>
          <x:t xml:space="preserve">GRILL_TOP</x:t>
        </x:is>
      </x:c>
      <x:c r="E26" s="15" t="n">
        <x:v>220</x:v>
      </x:c>
      <x:c r="F26" s="15" t="n">
        <x:v>8</x:v>
      </x:c>
      <x:c r="G26" s="15" t="n">
        <x:v>8</x:v>
      </x:c>
      <x:c r="H26" s="13" t="inlineStr">
        <x:is>
          <x:t xml:space="preserve">Tray</x:t>
        </x:is>
      </x:c>
      <x:c r="I26" s="13" t="inlineStr">
        <x:is>
          <x:t xml:space="preserve">Top</x:t>
        </x:is>
      </x:c>
      <x:c r="J26" s="13" t="inlineStr">
        <x:is>
          <x:t xml:space="preserve">1x</x:t>
        </x:is>
      </x:c>
      <x:c r="K26" s="13" t="inlineStr">
        <x:is>
          <x:t xml:space="preserve">Watch closely; flip for even toast.</x:t>
        </x:is>
      </x:c>
    </x:row>
    <x:row r="27">
      <x:c r="A27" s="13" t="inlineStr">
        <x:is>
          <x:t xml:space="preserve">D026</x:t>
        </x:is>
      </x:c>
      <x:c r="B27" s="13" t="inlineStr">
        <x:is>
          <x:t xml:space="preserve">Baking</x:t>
        </x:is>
      </x:c>
      <x:c r="C27" s="13" t="inlineStr">
        <x:is>
          <x:t xml:space="preserve">Cheesecake (8-inch, water bath)</x:t>
        </x:is>
      </x:c>
      <x:c r="D27" s="13" t="inlineStr">
        <x:is>
          <x:t xml:space="preserve">BAKE_DELICATE</x:t>
        </x:is>
      </x:c>
      <x:c r="E27" s="15" t="n">
        <x:v>160</x:v>
      </x:c>
      <x:c r="F27" s="15" t="n">
        <x:v>65</x:v>
      </x:c>
      <x:c r="G27" s="15" t="n">
        <x:v>15</x:v>
      </x:c>
      <x:c r="H27" s="13" t="inlineStr">
        <x:is>
          <x:t xml:space="preserve">Springform</x:t>
        </x:is>
      </x:c>
      <x:c r="I27" s="13" t="inlineStr">
        <x:is>
          <x:t xml:space="preserve">Middle</x:t>
        </x:is>
      </x:c>
      <x:c r="J27" s="13" t="inlineStr">
        <x:is>
          <x:t xml:space="preserve">1x</x:t>
        </x:is>
      </x:c>
      <x:c r="K27" s="13" t="inlineStr">
        <x:is>
          <x:t xml:space="preserve">Low &amp; slow; cool in turned-off oven with door ajar.</x:t>
        </x:is>
      </x:c>
    </x:row>
    <x:row r="28">
      <x:c r="A28" s="13" t="inlineStr">
        <x:is>
          <x:t xml:space="preserve">D027</x:t>
        </x:is>
      </x:c>
      <x:c r="B28" s="13" t="inlineStr">
        <x:is>
          <x:t xml:space="preserve">Snacks</x:t>
        </x:is>
      </x:c>
      <x:c r="C28" s="13" t="inlineStr">
        <x:is>
          <x:t xml:space="preserve">Samosas (baked)</x:t>
        </x:is>
      </x:c>
      <x:c r="D28" s="13" t="inlineStr">
        <x:is>
          <x:t xml:space="preserve">ROAST</x:t>
        </x:is>
      </x:c>
      <x:c r="E28" s="15" t="n">
        <x:v>200</x:v>
      </x:c>
      <x:c r="F28" s="15" t="n">
        <x:v>28</x:v>
      </x:c>
      <x:c r="G28" s="15" t="n">
        <x:v>12</x:v>
      </x:c>
      <x:c r="H28" s="13" t="inlineStr">
        <x:is>
          <x:t xml:space="preserve">Metal tray</x:t>
        </x:is>
      </x:c>
      <x:c r="I28" s="13" t="inlineStr">
        <x:is>
          <x:t xml:space="preserve">Middle</x:t>
        </x:is>
      </x:c>
      <x:c r="J28" s="13" t="inlineStr">
        <x:is>
          <x:t xml:space="preserve">1x</x:t>
        </x:is>
      </x:c>
      <x:c r="K28" s="13" t="inlineStr">
        <x:is>
          <x:t xml:space="preserve">Brush oil; flip once; bake until golden.</x:t>
        </x:is>
      </x:c>
    </x:row>
    <x:row r="29">
      <x:c r="A29" s="13" t="inlineStr">
        <x:is>
          <x:t xml:space="preserve">D028</x:t>
        </x:is>
      </x:c>
      <x:c r="B29" s="13" t="inlineStr">
        <x:is>
          <x:t xml:space="preserve">Snacks</x:t>
        </x:is>
      </x:c>
      <x:c r="C29" s="13" t="inlineStr">
        <x:is>
          <x:t xml:space="preserve">Spring rolls (baked)</x:t>
        </x:is>
      </x:c>
      <x:c r="D29" s="13" t="inlineStr">
        <x:is>
          <x:t xml:space="preserve">REHEAT_CRISP</x:t>
        </x:is>
      </x:c>
      <x:c r="E29" s="15" t="n">
        <x:v>220</x:v>
      </x:c>
      <x:c r="F29" s="15" t="n">
        <x:v>18</x:v>
      </x:c>
      <x:c r="G29" s="15" t="n">
        <x:v>10</x:v>
      </x:c>
      <x:c r="H29" s="13" t="inlineStr">
        <x:is>
          <x:t xml:space="preserve">Metal tray</x:t>
        </x:is>
      </x:c>
      <x:c r="I29" s="13" t="inlineStr">
        <x:is>
          <x:t xml:space="preserve">Top</x:t>
        </x:is>
      </x:c>
      <x:c r="J29" s="13" t="inlineStr">
        <x:is>
          <x:t xml:space="preserve">1x</x:t>
        </x:is>
      </x:c>
      <x:c r="K29" s="13" t="inlineStr">
        <x:is>
          <x:t xml:space="preserve">Brush oil; flip once.</x:t>
        </x:is>
      </x:c>
    </x:row>
    <x:row r="30">
      <x:c r="A30" s="13" t="inlineStr">
        <x:is>
          <x:t xml:space="preserve">D029</x:t>
        </x:is>
      </x:c>
      <x:c r="B30" s="13" t="inlineStr">
        <x:is>
          <x:t xml:space="preserve">Snacks</x:t>
        </x:is>
      </x:c>
      <x:c r="C30" s="13" t="inlineStr">
        <x:is>
          <x:t xml:space="preserve">French fries (frozen)</x:t>
        </x:is>
      </x:c>
      <x:c r="D30" s="13" t="inlineStr">
        <x:is>
          <x:t xml:space="preserve">REHEAT_CRISP</x:t>
        </x:is>
      </x:c>
      <x:c r="E30" s="15" t="n">
        <x:v>220</x:v>
      </x:c>
      <x:c r="F30" s="15" t="n">
        <x:v>22</x:v>
      </x:c>
      <x:c r="G30" s="15" t="n">
        <x:v>10</x:v>
      </x:c>
      <x:c r="H30" s="13" t="inlineStr">
        <x:is>
          <x:t xml:space="preserve">Tray/basket</x:t>
        </x:is>
      </x:c>
      <x:c r="I30" s="13" t="inlineStr">
        <x:is>
          <x:t xml:space="preserve">Top</x:t>
        </x:is>
      </x:c>
      <x:c r="J30" s="13" t="inlineStr">
        <x:is>
          <x:t xml:space="preserve">1x</x:t>
        </x:is>
      </x:c>
      <x:c r="K30" s="13" t="inlineStr">
        <x:is>
          <x:t xml:space="preserve">Shake/turn twice; cook in single layer.</x:t>
        </x:is>
      </x:c>
    </x:row>
    <x:row r="31">
      <x:c r="A31" s="13" t="inlineStr">
        <x:is>
          <x:t xml:space="preserve">D030</x:t>
        </x:is>
      </x:c>
      <x:c r="B31" s="13" t="inlineStr">
        <x:is>
          <x:t xml:space="preserve">Snacks</x:t>
        </x:is>
      </x:c>
      <x:c r="C31" s="13" t="inlineStr">
        <x:is>
          <x:t xml:space="preserve">Paneer / veg cutlets (pre-formed)</x:t>
        </x:is>
      </x:c>
      <x:c r="D31" s="13" t="inlineStr">
        <x:is>
          <x:t xml:space="preserve">REHEAT_CRISP</x:t>
        </x:is>
      </x:c>
      <x:c r="E31" s="15" t="n">
        <x:v>220</x:v>
      </x:c>
      <x:c r="F31" s="15" t="n">
        <x:v>18</x:v>
      </x:c>
      <x:c r="G31" s="15" t="n">
        <x:v>10</x:v>
      </x:c>
      <x:c r="H31" s="13" t="inlineStr">
        <x:is>
          <x:t xml:space="preserve">Tray/basket</x:t>
        </x:is>
      </x:c>
      <x:c r="I31" s="13" t="inlineStr">
        <x:is>
          <x:t xml:space="preserve">Top</x:t>
        </x:is>
      </x:c>
      <x:c r="J31" s="13" t="inlineStr">
        <x:is>
          <x:t xml:space="preserve">1x</x:t>
        </x:is>
      </x:c>
      <x:c r="K31" s="13" t="inlineStr">
        <x:is>
          <x:t xml:space="preserve">Flip once; brush oil for browning.</x:t>
        </x:is>
      </x:c>
    </x:row>
    <x:row r="32">
      <x:c r="A32" s="13" t="inlineStr">
        <x:is>
          <x:t xml:space="preserve">D031</x:t>
        </x:is>
      </x:c>
      <x:c r="B32" s="13" t="inlineStr">
        <x:is>
          <x:t xml:space="preserve">Snacks</x:t>
        </x:is>
      </x:c>
      <x:c r="C32" s="13" t="inlineStr">
        <x:is>
          <x:t xml:space="preserve">Roasted nuts (almonds/cashews)</x:t>
        </x:is>
      </x:c>
      <x:c r="D32" s="13" t="inlineStr">
        <x:is>
          <x:t xml:space="preserve">ROAST</x:t>
        </x:is>
      </x:c>
      <x:c r="E32" s="15" t="n">
        <x:v>160</x:v>
      </x:c>
      <x:c r="F32" s="15" t="n">
        <x:v>12</x:v>
      </x:c>
      <x:c r="G32" s="15" t="n">
        <x:v>10</x:v>
      </x:c>
      <x:c r="H32" s="13" t="inlineStr">
        <x:is>
          <x:t xml:space="preserve">Tray</x:t>
        </x:is>
      </x:c>
      <x:c r="I32" s="13" t="inlineStr">
        <x:is>
          <x:t xml:space="preserve">Middle</x:t>
        </x:is>
      </x:c>
      <x:c r="J32" s="13" t="inlineStr">
        <x:is>
          <x:t xml:space="preserve">1x</x:t>
        </x:is>
      </x:c>
      <x:c r="K32" s="13" t="inlineStr">
        <x:is>
          <x:t xml:space="preserve">Stir every 4 min; nuts burn quickly.</x:t>
        </x:is>
      </x:c>
    </x:row>
    <x:row r="33">
      <x:c r="A33" s="13" t="inlineStr">
        <x:is>
          <x:t xml:space="preserve">D032</x:t>
        </x:is>
      </x:c>
      <x:c r="B33" s="13" t="inlineStr">
        <x:is>
          <x:t xml:space="preserve">Pasta</x:t>
        </x:is>
      </x:c>
      <x:c r="C33" s="13" t="inlineStr">
        <x:is>
          <x:t xml:space="preserve">Lasagna (9x13, chilled)</x:t>
        </x:is>
      </x:c>
      <x:c r="D33" s="13" t="inlineStr">
        <x:is>
          <x:t xml:space="preserve">ROAST</x:t>
        </x:is>
      </x:c>
      <x:c r="E33" s="15" t="n">
        <x:v>190</x:v>
      </x:c>
      <x:c r="F33" s="15" t="n">
        <x:v>45</x:v>
      </x:c>
      <x:c r="G33" s="15" t="n">
        <x:v>15</x:v>
      </x:c>
      <x:c r="H33" s="13" t="inlineStr">
        <x:is>
          <x:t xml:space="preserve">Baking dish</x:t>
        </x:is>
      </x:c>
      <x:c r="I33" s="13" t="inlineStr">
        <x:is>
          <x:t xml:space="preserve">Middle</x:t>
        </x:is>
      </x:c>
      <x:c r="J33" s="13" t="inlineStr">
        <x:is>
          <x:t xml:space="preserve">1x</x:t>
        </x:is>
      </x:c>
      <x:c r="K33" s="13" t="inlineStr">
        <x:is>
          <x:t xml:space="preserve">Cover with foil for first 30 min; uncover to brown.</x:t>
        </x:is>
      </x:c>
    </x:row>
    <x:row r="34">
      <x:c r="A34" s="13" t="inlineStr">
        <x:is>
          <x:t xml:space="preserve">D033</x:t>
        </x:is>
      </x:c>
      <x:c r="B34" s="13" t="inlineStr">
        <x:is>
          <x:t xml:space="preserve">Pasta</x:t>
        </x:is>
      </x:c>
      <x:c r="C34" s="13" t="inlineStr">
        <x:is>
          <x:t xml:space="preserve">Baked mac &amp; cheese</x:t>
        </x:is>
      </x:c>
      <x:c r="D34" s="13" t="inlineStr">
        <x:is>
          <x:t xml:space="preserve">ROAST</x:t>
        </x:is>
      </x:c>
      <x:c r="E34" s="15" t="n">
        <x:v>190</x:v>
      </x:c>
      <x:c r="F34" s="15" t="n">
        <x:v>28</x:v>
      </x:c>
      <x:c r="G34" s="15" t="n">
        <x:v>12</x:v>
      </x:c>
      <x:c r="H34" s="13" t="inlineStr">
        <x:is>
          <x:t xml:space="preserve">Baking dish</x:t>
        </x:is>
      </x:c>
      <x:c r="I34" s="13" t="inlineStr">
        <x:is>
          <x:t xml:space="preserve">Middle</x:t>
        </x:is>
      </x:c>
      <x:c r="J34" s="13" t="inlineStr">
        <x:is>
          <x:t xml:space="preserve">1x</x:t>
        </x:is>
      </x:c>
      <x:c r="K34" s="13" t="inlineStr">
        <x:is>
          <x:t xml:space="preserve">Broil 2–3 min for crispy top.</x:t>
        </x:is>
      </x:c>
    </x:row>
    <x:row r="35">
      <x:c r="A35" s="13" t="inlineStr">
        <x:is>
          <x:t xml:space="preserve">D034</x:t>
        </x:is>
      </x:c>
      <x:c r="B35" s="13" t="inlineStr">
        <x:is>
          <x:t xml:space="preserve">Pasta</x:t>
        </x:is>
      </x:c>
      <x:c r="C35" s="13" t="inlineStr">
        <x:is>
          <x:t xml:space="preserve">Stuffed pasta bake</x:t>
        </x:is>
      </x:c>
      <x:c r="D35" s="13" t="inlineStr">
        <x:is>
          <x:t xml:space="preserve">ROAST</x:t>
        </x:is>
      </x:c>
      <x:c r="E35" s="15" t="n">
        <x:v>190</x:v>
      </x:c>
      <x:c r="F35" s="15" t="n">
        <x:v>30</x:v>
      </x:c>
      <x:c r="G35" s="15" t="n">
        <x:v>12</x:v>
      </x:c>
      <x:c r="H35" s="13" t="inlineStr">
        <x:is>
          <x:t xml:space="preserve">Baking dish</x:t>
        </x:is>
      </x:c>
      <x:c r="I35" s="13" t="inlineStr">
        <x:is>
          <x:t xml:space="preserve">Middle</x:t>
        </x:is>
      </x:c>
      <x:c r="J35" s="13" t="inlineStr">
        <x:is>
          <x:t xml:space="preserve">1x</x:t>
        </x:is>
      </x:c>
      <x:c r="K35" s="13" t="inlineStr">
        <x:is>
          <x:t xml:space="preserve">Cover if drying; broil at end.</x:t>
        </x:is>
      </x:c>
    </x:row>
    <x:row r="36">
      <x:c r="A36" s="13" t="inlineStr">
        <x:is>
          <x:t xml:space="preserve">D035</x:t>
        </x:is>
      </x:c>
      <x:c r="B36" s="13" t="inlineStr">
        <x:is>
          <x:t xml:space="preserve">Baking</x:t>
        </x:is>
      </x:c>
      <x:c r="C36" s="13" t="inlineStr">
        <x:is>
          <x:t xml:space="preserve">Naan / kulcha (finish)</x:t>
        </x:is>
      </x:c>
      <x:c r="D36" s="13" t="inlineStr">
        <x:is>
          <x:t xml:space="preserve">GRILL_TOP</x:t>
        </x:is>
      </x:c>
      <x:c r="E36" s="15" t="n">
        <x:v>240</x:v>
      </x:c>
      <x:c r="F36" s="15" t="n">
        <x:v>4</x:v>
      </x:c>
      <x:c r="G36" s="15" t="n">
        <x:v>12</x:v>
      </x:c>
      <x:c r="H36" s="13" t="inlineStr">
        <x:is>
          <x:t xml:space="preserve">Direct on rack</x:t>
        </x:is>
      </x:c>
      <x:c r="I36" s="13" t="inlineStr">
        <x:is>
          <x:t xml:space="preserve">Top</x:t>
        </x:is>
      </x:c>
      <x:c r="J36" s="13" t="inlineStr">
        <x:is>
          <x:t xml:space="preserve">1x</x:t>
        </x:is>
      </x:c>
      <x:c r="K36" s="13" t="inlineStr">
        <x:is>
          <x:t xml:space="preserve">Use top heat to brown quickly; watch continuously.</x:t>
        </x:is>
      </x:c>
    </x:row>
    <x:row r="37">
      <x:c r="A37" s="13" t="inlineStr">
        <x:is>
          <x:t xml:space="preserve">D036</x:t>
        </x:is>
      </x:c>
      <x:c r="B37" s="13" t="inlineStr">
        <x:is>
          <x:t xml:space="preserve">Indian</x:t>
        </x:is>
      </x:c>
      <x:c r="C37" s="13" t="inlineStr">
        <x:is>
          <x:t xml:space="preserve">Baati / litti (stuffed dough balls)</x:t>
        </x:is>
      </x:c>
      <x:c r="D37" s="13" t="inlineStr">
        <x:is>
          <x:t xml:space="preserve">ROAST</x:t>
        </x:is>
      </x:c>
      <x:c r="E37" s="15" t="n">
        <x:v>200</x:v>
      </x:c>
      <x:c r="F37" s="15" t="n">
        <x:v>35</x:v>
      </x:c>
      <x:c r="G37" s="15" t="n">
        <x:v>15</x:v>
      </x:c>
      <x:c r="H37" s="13" t="inlineStr">
        <x:is>
          <x:t xml:space="preserve">Tray</x:t>
        </x:is>
      </x:c>
      <x:c r="I37" s="13" t="inlineStr">
        <x:is>
          <x:t xml:space="preserve">Middle</x:t>
        </x:is>
      </x:c>
      <x:c r="J37" s="13" t="inlineStr">
        <x:is>
          <x:t xml:space="preserve">1x</x:t>
        </x:is>
      </x:c>
      <x:c r="K37" s="13" t="inlineStr">
        <x:is>
          <x:t xml:space="preserve">Turn twice; finish with top heat for crust.</x:t>
        </x:is>
      </x:c>
    </x:row>
    <x:row r="38">
      <x:c r="A38" s="13" t="inlineStr">
        <x:is>
          <x:t xml:space="preserve">D037</x:t>
        </x:is>
      </x:c>
      <x:c r="B38" s="13" t="inlineStr">
        <x:is>
          <x:t xml:space="preserve">Indian</x:t>
        </x:is>
      </x:c>
      <x:c r="C38" s="13" t="inlineStr">
        <x:is>
          <x:t xml:space="preserve">Baked dhokla (steam-bake)</x:t>
        </x:is>
      </x:c>
      <x:c r="D38" s="13" t="inlineStr">
        <x:is>
          <x:t xml:space="preserve">BAKE_DELICATE</x:t>
        </x:is>
      </x:c>
      <x:c r="E38" s="15" t="n">
        <x:v>160</x:v>
      </x:c>
      <x:c r="F38" s="15" t="n">
        <x:v>25</x:v>
      </x:c>
      <x:c r="G38" s="15" t="n">
        <x:v>12</x:v>
      </x:c>
      <x:c r="H38" s="13" t="inlineStr">
        <x:is>
          <x:t xml:space="preserve">Tin</x:t>
        </x:is>
      </x:c>
      <x:c r="I38" s="13" t="inlineStr">
        <x:is>
          <x:t xml:space="preserve">Middle</x:t>
        </x:is>
      </x:c>
      <x:c r="J38" s="13" t="inlineStr">
        <x:is>
          <x:t xml:space="preserve">1x</x:t>
        </x:is>
      </x:c>
      <x:c r="K38" s="13" t="inlineStr">
        <x:is>
          <x:t xml:space="preserve">Use water tray for humidity; check set.</x:t>
        </x:is>
      </x:c>
    </x:row>
    <x:row r="39">
      <x:c r="A39" s="13" t="inlineStr">
        <x:is>
          <x:t xml:space="preserve">D038</x:t>
        </x:is>
      </x:c>
      <x:c r="B39" s="13" t="inlineStr">
        <x:is>
          <x:t xml:space="preserve">Dessert</x:t>
        </x:is>
      </x:c>
      <x:c r="C39" s="13" t="inlineStr">
        <x:is>
          <x:t xml:space="preserve">Bread pudding</x:t>
        </x:is>
      </x:c>
      <x:c r="D39" s="13" t="inlineStr">
        <x:is>
          <x:t xml:space="preserve">BAKE_DELICATE</x:t>
        </x:is>
      </x:c>
      <x:c r="E39" s="15" t="n">
        <x:v>170</x:v>
      </x:c>
      <x:c r="F39" s="15" t="n">
        <x:v>35</x:v>
      </x:c>
      <x:c r="G39" s="15" t="n">
        <x:v>12</x:v>
      </x:c>
      <x:c r="H39" s="13" t="inlineStr">
        <x:is>
          <x:t xml:space="preserve">Baking dish</x:t>
        </x:is>
      </x:c>
      <x:c r="I39" s="13" t="inlineStr">
        <x:is>
          <x:t xml:space="preserve">Middle</x:t>
        </x:is>
      </x:c>
      <x:c r="J39" s="13" t="inlineStr">
        <x:is>
          <x:t xml:space="preserve">1x</x:t>
        </x:is>
      </x:c>
      <x:c r="K39" s="13" t="inlineStr">
        <x:is>
          <x:t xml:space="preserve">Bake until just set; rest 10 min.</x:t>
        </x:is>
      </x:c>
    </x:row>
    <x:row r="40">
      <x:c r="A40" s="13" t="inlineStr">
        <x:is>
          <x:t xml:space="preserve">D039</x:t>
        </x:is>
      </x:c>
      <x:c r="B40" s="13" t="inlineStr">
        <x:is>
          <x:t xml:space="preserve">Dessert</x:t>
        </x:is>
      </x:c>
      <x:c r="C40" s="13" t="inlineStr">
        <x:is>
          <x:t xml:space="preserve">Apple crumble</x:t>
        </x:is>
      </x:c>
      <x:c r="D40" s="13" t="inlineStr">
        <x:is>
          <x:t xml:space="preserve">BAKE_STANDARD</x:t>
        </x:is>
      </x:c>
      <x:c r="E40" s="15" t="n">
        <x:v>190</x:v>
      </x:c>
      <x:c r="F40" s="15" t="n">
        <x:v>35</x:v>
      </x:c>
      <x:c r="G40" s="15" t="n">
        <x:v>12</x:v>
      </x:c>
      <x:c r="H40" s="13" t="inlineStr">
        <x:is>
          <x:t xml:space="preserve">Baking dish</x:t>
        </x:is>
      </x:c>
      <x:c r="I40" s="13" t="inlineStr">
        <x:is>
          <x:t xml:space="preserve">Middle</x:t>
        </x:is>
      </x:c>
      <x:c r="J40" s="13" t="inlineStr">
        <x:is>
          <x:t xml:space="preserve">1x</x:t>
        </x:is>
      </x:c>
      <x:c r="K40" s="13" t="inlineStr">
        <x:is>
          <x:t xml:space="preserve">Bake until bubbling and golden.</x:t>
        </x:is>
      </x:c>
    </x:row>
    <x:row r="41">
      <x:c r="A41" s="13" t="inlineStr">
        <x:is>
          <x:t xml:space="preserve">D040</x:t>
        </x:is>
      </x:c>
      <x:c r="B41" s="13" t="inlineStr">
        <x:is>
          <x:t xml:space="preserve">Dessert</x:t>
        </x:is>
      </x:c>
      <x:c r="C41" s="13" t="inlineStr">
        <x:is>
          <x:t xml:space="preserve">Baked rasgulla / chhena dessert</x:t>
        </x:is>
      </x:c>
      <x:c r="D41" s="13" t="inlineStr">
        <x:is>
          <x:t xml:space="preserve">BAKE_DELICATE</x:t>
        </x:is>
      </x:c>
      <x:c r="E41" s="15" t="n">
        <x:v>160</x:v>
      </x:c>
      <x:c r="F41" s="15" t="n">
        <x:v>30</x:v>
      </x:c>
      <x:c r="G41" s="15" t="n">
        <x:v>12</x:v>
      </x:c>
      <x:c r="H41" s="13" t="inlineStr">
        <x:is>
          <x:t xml:space="preserve">Baking dish</x:t>
        </x:is>
      </x:c>
      <x:c r="I41" s="13" t="inlineStr">
        <x:is>
          <x:t xml:space="preserve">Middle</x:t>
        </x:is>
      </x:c>
      <x:c r="J41" s="13" t="inlineStr">
        <x:is>
          <x:t xml:space="preserve">1x</x:t>
        </x:is>
      </x:c>
      <x:c r="K41" s="13" t="inlineStr">
        <x:is>
          <x:t xml:space="preserve">Gentle heat; avoid high fan; cover if browning.</x:t>
        </x:is>
      </x:c>
    </x:row>
    <x:row r="42">
      <x:c r="A42" s="13" t="inlineStr">
        <x:is>
          <x:t xml:space="preserve">D041</x:t>
        </x:is>
      </x:c>
      <x:c r="B42" s="13" t="inlineStr">
        <x:is>
          <x:t xml:space="preserve">Pizza</x:t>
        </x:is>
      </x:c>
      <x:c r="C42" s="13" t="inlineStr">
        <x:is>
          <x:t xml:space="preserve">Thin crust pizza</x:t>
        </x:is>
      </x:c>
      <x:c r="D42" s="13" t="inlineStr">
        <x:is>
          <x:t xml:space="preserve">BAKE_STANDARD</x:t>
        </x:is>
      </x:c>
      <x:c r="E42" s="15" t="n">
        <x:v>250</x:v>
      </x:c>
      <x:c r="F42" s="15" t="n">
        <x:v>9</x:v>
      </x:c>
      <x:c r="G42" s="15" t="n">
        <x:v>15</x:v>
      </x:c>
      <x:c r="H42" s="13" t="inlineStr">
        <x:is>
          <x:t xml:space="preserve">Stone/tray</x:t>
        </x:is>
      </x:c>
      <x:c r="I42" s="13" t="inlineStr">
        <x:is>
          <x:t xml:space="preserve">Bottom</x:t>
        </x:is>
      </x:c>
      <x:c r="J42" s="13" t="inlineStr">
        <x:is>
          <x:t xml:space="preserve">1x</x:t>
        </x:is>
      </x:c>
      <x:c r="K42" s="13" t="inlineStr">
        <x:is>
          <x:t xml:space="preserve">Preheat max; bake hot and fast.</x:t>
        </x:is>
      </x:c>
    </x:row>
    <x:row r="43">
      <x:c r="A43" s="13" t="inlineStr">
        <x:is>
          <x:t xml:space="preserve">D042</x:t>
        </x:is>
      </x:c>
      <x:c r="B43" s="13" t="inlineStr">
        <x:is>
          <x:t xml:space="preserve">Pizza</x:t>
        </x:is>
      </x:c>
      <x:c r="C43" s="13" t="inlineStr">
        <x:is>
          <x:t xml:space="preserve">Reheat pizza slice</x:t>
        </x:is>
      </x:c>
      <x:c r="D43" s="13" t="inlineStr">
        <x:is>
          <x:t xml:space="preserve">REHEAT_CRISP</x:t>
        </x:is>
      </x:c>
      <x:c r="E43" s="15" t="n">
        <x:v>200</x:v>
      </x:c>
      <x:c r="F43" s="15" t="n">
        <x:v>7</x:v>
      </x:c>
      <x:c r="G43" s="15" t="n">
        <x:v>5</x:v>
      </x:c>
      <x:c r="H43" s="13" t="inlineStr">
        <x:is>
          <x:t xml:space="preserve">Tray</x:t>
        </x:is>
      </x:c>
      <x:c r="I43" s="13" t="inlineStr">
        <x:is>
          <x:t xml:space="preserve">Middle</x:t>
        </x:is>
      </x:c>
      <x:c r="J43" s="13" t="inlineStr">
        <x:is>
          <x:t xml:space="preserve">1x</x:t>
        </x:is>
      </x:c>
      <x:c r="K43" s="13" t="inlineStr">
        <x:is>
          <x:t xml:space="preserve">Cover loosely if cheese browns too fast.</x:t>
        </x:is>
      </x:c>
    </x:row>
    <x:row r="44">
      <x:c r="A44" s="13" t="inlineStr">
        <x:is>
          <x:t xml:space="preserve">D043</x:t>
        </x:is>
      </x:c>
      <x:c r="B44" s="13" t="inlineStr">
        <x:is>
          <x:t xml:space="preserve">Vegetables</x:t>
        </x:is>
      </x:c>
      <x:c r="C44" s="13" t="inlineStr">
        <x:is>
          <x:t xml:space="preserve">Grilled corn (half cobs)</x:t>
        </x:is>
      </x:c>
      <x:c r="D44" s="13" t="inlineStr">
        <x:is>
          <x:t xml:space="preserve">GRILL_TOP</x:t>
        </x:is>
      </x:c>
      <x:c r="E44" s="15" t="n">
        <x:v>230</x:v>
      </x:c>
      <x:c r="F44" s="15" t="n">
        <x:v>16</x:v>
      </x:c>
      <x:c r="G44" s="15" t="n">
        <x:v>10</x:v>
      </x:c>
      <x:c r="H44" s="13" t="inlineStr">
        <x:is>
          <x:t xml:space="preserve">Rack/tray</x:t>
        </x:is>
      </x:c>
      <x:c r="I44" s="13" t="inlineStr">
        <x:is>
          <x:t xml:space="preserve">Top</x:t>
        </x:is>
      </x:c>
      <x:c r="J44" s="13" t="inlineStr">
        <x:is>
          <x:t xml:space="preserve">1x</x:t>
        </x:is>
      </x:c>
      <x:c r="K44" s="13" t="inlineStr">
        <x:is>
          <x:t xml:space="preserve">Turn every 4 min; baste with butter.</x:t>
        </x:is>
      </x:c>
    </x:row>
    <x:row r="45">
      <x:c r="A45" s="13" t="inlineStr">
        <x:is>
          <x:t xml:space="preserve">D044</x:t>
        </x:is>
      </x:c>
      <x:c r="B45" s="13" t="inlineStr">
        <x:is>
          <x:t xml:space="preserve">Vegetables</x:t>
        </x:is>
      </x:c>
      <x:c r="C45" s="13" t="inlineStr">
        <x:is>
          <x:t xml:space="preserve">Gratin (potato/veg)</x:t>
        </x:is>
      </x:c>
      <x:c r="D45" s="13" t="inlineStr">
        <x:is>
          <x:t xml:space="preserve">ROAST</x:t>
        </x:is>
      </x:c>
      <x:c r="E45" s="15" t="n">
        <x:v>200</x:v>
      </x:c>
      <x:c r="F45" s="15" t="n">
        <x:v>45</x:v>
      </x:c>
      <x:c r="G45" s="15" t="n">
        <x:v>12</x:v>
      </x:c>
      <x:c r="H45" s="13" t="inlineStr">
        <x:is>
          <x:t xml:space="preserve">Baking dish</x:t>
        </x:is>
      </x:c>
      <x:c r="I45" s="13" t="inlineStr">
        <x:is>
          <x:t xml:space="preserve">Middle</x:t>
        </x:is>
      </x:c>
      <x:c r="J45" s="13" t="inlineStr">
        <x:is>
          <x:t xml:space="preserve">1x</x:t>
        </x:is>
      </x:c>
      <x:c r="K45" s="13" t="inlineStr">
        <x:is>
          <x:t xml:space="preserve">Broil last 3–5 min for browned top.</x:t>
        </x:is>
      </x:c>
    </x:row>
    <x:row r="46">
      <x:c r="A46" s="13" t="inlineStr">
        <x:is>
          <x:t xml:space="preserve">D045</x:t>
        </x:is>
      </x:c>
      <x:c r="B46" s="13" t="inlineStr">
        <x:is>
          <x:t xml:space="preserve">Meat</x:t>
        </x:is>
      </x:c>
      <x:c r="C46" s="13" t="inlineStr">
        <x:is>
          <x:t xml:space="preserve">Mutton/lamb chops</x:t>
        </x:is>
      </x:c>
      <x:c r="D46" s="13" t="inlineStr">
        <x:is>
          <x:t xml:space="preserve">GRILL_TOP</x:t>
        </x:is>
      </x:c>
      <x:c r="E46" s="15" t="n">
        <x:v>230</x:v>
      </x:c>
      <x:c r="F46" s="15" t="n">
        <x:v>18</x:v>
      </x:c>
      <x:c r="G46" s="15" t="n">
        <x:v>12</x:v>
      </x:c>
      <x:c r="H46" s="13" t="inlineStr">
        <x:is>
          <x:t xml:space="preserve">Rack/tray</x:t>
        </x:is>
      </x:c>
      <x:c r="I46" s="13" t="inlineStr">
        <x:is>
          <x:t xml:space="preserve">Top</x:t>
        </x:is>
      </x:c>
      <x:c r="J46" s="13" t="inlineStr">
        <x:is>
          <x:t xml:space="preserve">1x</x:t>
        </x:is>
      </x:c>
      <x:c r="K46" s="13" t="inlineStr">
        <x:is>
          <x:t xml:space="preserve">Flip twice; rest; time varies by thickness.</x:t>
        </x:is>
      </x:c>
    </x:row>
    <x:row r="47">
      <x:c r="A47" s="13" t="inlineStr">
        <x:is>
          <x:t xml:space="preserve">D046</x:t>
        </x:is>
      </x:c>
      <x:c r="B47" s="13" t="inlineStr">
        <x:is>
          <x:t xml:space="preserve">Meat</x:t>
        </x:is>
      </x:c>
      <x:c r="C47" s="13" t="inlineStr">
        <x:is>
          <x:t xml:space="preserve">Meatballs</x:t>
        </x:is>
      </x:c>
      <x:c r="D47" s="13" t="inlineStr">
        <x:is>
          <x:t xml:space="preserve">ROAST</x:t>
        </x:is>
      </x:c>
      <x:c r="E47" s="15" t="n">
        <x:v>210</x:v>
      </x:c>
      <x:c r="F47" s="15" t="n">
        <x:v>18</x:v>
      </x:c>
      <x:c r="G47" s="15" t="n">
        <x:v>12</x:v>
      </x:c>
      <x:c r="H47" s="13" t="inlineStr">
        <x:is>
          <x:t xml:space="preserve">Tray</x:t>
        </x:is>
      </x:c>
      <x:c r="I47" s="13" t="inlineStr">
        <x:is>
          <x:t xml:space="preserve">Middle</x:t>
        </x:is>
      </x:c>
      <x:c r="J47" s="13" t="inlineStr">
        <x:is>
          <x:t xml:space="preserve">1x</x:t>
        </x:is>
      </x:c>
      <x:c r="K47" s="13" t="inlineStr">
        <x:is>
          <x:t xml:space="preserve">Turn once; finish with top heat.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customWidth="1"/>
    <x:col min="2" max="2" width="28" customWidth="1"/>
    <x:col min="3" max="3" width="16" customWidth="1"/>
    <x:col min="4" max="4" width="12" customWidth="1"/>
    <x:col min="5" max="5" width="10" customWidth="1"/>
    <x:col min="6" max="6" width="12" customWidth="1"/>
    <x:col min="7" max="7" width="52" customWidth="1"/>
  </x:cols>
  <x:sheetData>
    <x:row r="1" ht="22" customHeight="1">
      <x:c r="A1" s="12" t="inlineStr">
        <x:is>
          <x:t xml:space="preserve">Key</x:t>
        </x:is>
      </x:c>
      <x:c r="B1" s="12" t="inlineStr">
        <x:is>
          <x:t xml:space="preserve">Device</x:t>
        </x:is>
      </x:c>
      <x:c r="C1" s="12" t="inlineStr">
        <x:is>
          <x:t xml:space="preserve">ModeType</x:t>
        </x:is>
      </x:c>
      <x:c r="D1" s="12" t="inlineStr">
        <x:is>
          <x:t xml:space="preserve">TempOffsetC</x:t>
        </x:is>
      </x:c>
      <x:c r="E1" s="12" t="inlineStr">
        <x:is>
          <x:t xml:space="preserve">TimeFactor</x:t>
        </x:is>
      </x:c>
      <x:c r="F1" s="12" t="inlineStr">
        <x:is>
          <x:t xml:space="preserve">PreheatMin</x:t>
        </x:is>
      </x:c>
      <x:c r="G1" s="12" t="inlineStr">
        <x:is>
          <x:t xml:space="preserve">Notes</x:t>
        </x:is>
      </x:c>
    </x:row>
    <x:row r="2">
      <x:c r="A2" s="13" t="inlineStr">
        <x:is>
          <x:t xml:space="preserve">Oven (Conventional)|BAKE_DELICATE</x:t>
        </x:is>
      </x:c>
      <x:c r="B2" s="13" t="inlineStr">
        <x:is>
          <x:t xml:space="preserve">Oven (Conventional)</x:t>
        </x:is>
      </x:c>
      <x:c r="C2" s="13" t="inlineStr">
        <x:is>
          <x:t xml:space="preserve">BAKE_DELICATE</x:t>
        </x:is>
      </x:c>
      <x:c r="D2" s="15" t="n">
        <x:v>0</x:v>
      </x:c>
      <x:c r="E2" s="16" t="n">
        <x:v>1</x:v>
      </x:c>
      <x:c r="F2" s="15" t="n">
        <x:v>12</x:v>
      </x:c>
      <x:c r="G2" s="13" t="inlineStr">
        <x:is>
          <x:t xml:space="preserve">Baseline reference.</x:t>
        </x:is>
      </x:c>
    </x:row>
    <x:row r="3">
      <x:c r="A3" s="13" t="inlineStr">
        <x:is>
          <x:t xml:space="preserve">Oven (Conventional)|BAKE_STANDARD</x:t>
        </x:is>
      </x:c>
      <x:c r="B3" s="13" t="inlineStr">
        <x:is>
          <x:t xml:space="preserve">Oven (Conventional)</x:t>
        </x:is>
      </x:c>
      <x:c r="C3" s="13" t="inlineStr">
        <x:is>
          <x:t xml:space="preserve">BAKE_STANDARD</x:t>
        </x:is>
      </x:c>
      <x:c r="D3" s="15" t="n">
        <x:v>0</x:v>
      </x:c>
      <x:c r="E3" s="16" t="n">
        <x:v>1</x:v>
      </x:c>
      <x:c r="F3" s="15" t="n">
        <x:v>12</x:v>
      </x:c>
      <x:c r="G3" s="13" t="inlineStr">
        <x:is>
          <x:t xml:space="preserve">Baseline reference.</x:t>
        </x:is>
      </x:c>
    </x:row>
    <x:row r="4">
      <x:c r="A4" s="13" t="inlineStr">
        <x:is>
          <x:t xml:space="preserve">Oven (Conventional)|ROAST</x:t>
        </x:is>
      </x:c>
      <x:c r="B4" s="13" t="inlineStr">
        <x:is>
          <x:t xml:space="preserve">Oven (Conventional)</x:t>
        </x:is>
      </x:c>
      <x:c r="C4" s="13" t="inlineStr">
        <x:is>
          <x:t xml:space="preserve">ROAST</x:t>
        </x:is>
      </x:c>
      <x:c r="D4" s="15" t="n">
        <x:v>0</x:v>
      </x:c>
      <x:c r="E4" s="16" t="n">
        <x:v>1</x:v>
      </x:c>
      <x:c r="F4" s="15" t="n">
        <x:v>12</x:v>
      </x:c>
      <x:c r="G4" s="13" t="inlineStr">
        <x:is>
          <x:t xml:space="preserve">Baseline reference.</x:t>
        </x:is>
      </x:c>
    </x:row>
    <x:row r="5">
      <x:c r="A5" s="13" t="inlineStr">
        <x:is>
          <x:t xml:space="preserve">Oven (Conventional)|GRILL_TOP</x:t>
        </x:is>
      </x:c>
      <x:c r="B5" s="13" t="inlineStr">
        <x:is>
          <x:t xml:space="preserve">Oven (Conventional)</x:t>
        </x:is>
      </x:c>
      <x:c r="C5" s="13" t="inlineStr">
        <x:is>
          <x:t xml:space="preserve">GRILL_TOP</x:t>
        </x:is>
      </x:c>
      <x:c r="D5" s="15" t="n">
        <x:v>0</x:v>
      </x:c>
      <x:c r="E5" s="16" t="n">
        <x:v>1</x:v>
      </x:c>
      <x:c r="F5" s="15" t="n">
        <x:v>5</x:v>
      </x:c>
      <x:c r="G5" s="13" t="inlineStr">
        <x:is>
          <x:t xml:space="preserve">Baseline reference.</x:t>
        </x:is>
      </x:c>
    </x:row>
    <x:row r="6">
      <x:c r="A6" s="13" t="inlineStr">
        <x:is>
          <x:t xml:space="preserve">Oven (Conventional)|REHEAT_CRISP</x:t>
        </x:is>
      </x:c>
      <x:c r="B6" s="13" t="inlineStr">
        <x:is>
          <x:t xml:space="preserve">Oven (Conventional)</x:t>
        </x:is>
      </x:c>
      <x:c r="C6" s="13" t="inlineStr">
        <x:is>
          <x:t xml:space="preserve">REHEAT_CRISP</x:t>
        </x:is>
      </x:c>
      <x:c r="D6" s="15" t="n">
        <x:v>0</x:v>
      </x:c>
      <x:c r="E6" s="16" t="n">
        <x:v>1</x:v>
      </x:c>
      <x:c r="F6" s="15" t="n">
        <x:v>12</x:v>
      </x:c>
      <x:c r="G6" s="13" t="inlineStr">
        <x:is>
          <x:t xml:space="preserve">Baseline reference.</x:t>
        </x:is>
      </x:c>
    </x:row>
    <x:row r="7">
      <x:c r="A7" s="13" t="inlineStr">
        <x:is>
          <x:t xml:space="preserve">OTG (Conventional)|BAKE_DELICATE</x:t>
        </x:is>
      </x:c>
      <x:c r="B7" s="13" t="inlineStr">
        <x:is>
          <x:t xml:space="preserve">OTG (Conventional)</x:t>
        </x:is>
      </x:c>
      <x:c r="C7" s="13" t="inlineStr">
        <x:is>
          <x:t xml:space="preserve">BAKE_DELICATE</x:t>
        </x:is>
      </x:c>
      <x:c r="D7" s="15" t="n">
        <x:v>0</x:v>
      </x:c>
      <x:c r="E7" s="16" t="n">
        <x:v>1.05</x:v>
      </x:c>
      <x:c r="F7" s="15" t="n">
        <x:v>15</x:v>
      </x:c>
      <x:c r="G7" s="13" t="inlineStr">
        <x:is>
          <x:t xml:space="preserve">Smaller cavity; rotate once; may brown faster on top.</x:t>
        </x:is>
      </x:c>
    </x:row>
    <x:row r="8">
      <x:c r="A8" s="13" t="inlineStr">
        <x:is>
          <x:t xml:space="preserve">OTG (Conventional)|BAKE_STANDARD</x:t>
        </x:is>
      </x:c>
      <x:c r="B8" s="13" t="inlineStr">
        <x:is>
          <x:t xml:space="preserve">OTG (Conventional)</x:t>
        </x:is>
      </x:c>
      <x:c r="C8" s="13" t="inlineStr">
        <x:is>
          <x:t xml:space="preserve">BAKE_STANDARD</x:t>
        </x:is>
      </x:c>
      <x:c r="D8" s="15" t="n">
        <x:v>0</x:v>
      </x:c>
      <x:c r="E8" s="16" t="n">
        <x:v>1.05</x:v>
      </x:c>
      <x:c r="F8" s="15" t="n">
        <x:v>15</x:v>
      </x:c>
      <x:c r="G8" s="13" t="inlineStr">
        <x:is>
          <x:t xml:space="preserve">Smaller cavity; rotate once; may brown faster on top.</x:t>
        </x:is>
      </x:c>
    </x:row>
    <x:row r="9">
      <x:c r="A9" s="13" t="inlineStr">
        <x:is>
          <x:t xml:space="preserve">OTG (Conventional)|ROAST</x:t>
        </x:is>
      </x:c>
      <x:c r="B9" s="13" t="inlineStr">
        <x:is>
          <x:t xml:space="preserve">OTG (Conventional)</x:t>
        </x:is>
      </x:c>
      <x:c r="C9" s="13" t="inlineStr">
        <x:is>
          <x:t xml:space="preserve">ROAST</x:t>
        </x:is>
      </x:c>
      <x:c r="D9" s="15" t="n">
        <x:v>0</x:v>
      </x:c>
      <x:c r="E9" s="16" t="n">
        <x:v>1.05</x:v>
      </x:c>
      <x:c r="F9" s="15" t="n">
        <x:v>15</x:v>
      </x:c>
      <x:c r="G9" s="13" t="inlineStr">
        <x:is>
          <x:t xml:space="preserve">Smaller cavity; rotate once; may brown faster on top.</x:t>
        </x:is>
      </x:c>
    </x:row>
    <x:row r="10">
      <x:c r="A10" s="13" t="inlineStr">
        <x:is>
          <x:t xml:space="preserve">OTG (Conventional)|GRILL_TOP</x:t>
        </x:is>
      </x:c>
      <x:c r="B10" s="13" t="inlineStr">
        <x:is>
          <x:t xml:space="preserve">OTG (Conventional)</x:t>
        </x:is>
      </x:c>
      <x:c r="C10" s="13" t="inlineStr">
        <x:is>
          <x:t xml:space="preserve">GRILL_TOP</x:t>
        </x:is>
      </x:c>
      <x:c r="D10" s="15" t="n">
        <x:v>0</x:v>
      </x:c>
      <x:c r="E10" s="16" t="n">
        <x:v>1</x:v>
      </x:c>
      <x:c r="F10" s="15" t="n">
        <x:v>5</x:v>
      </x:c>
      <x:c r="G10" s="13" t="inlineStr">
        <x:is>
          <x:t xml:space="preserve">Smaller cavity; rotate once; may brown faster on top.</x:t>
        </x:is>
      </x:c>
    </x:row>
    <x:row r="11">
      <x:c r="A11" s="13" t="inlineStr">
        <x:is>
          <x:t xml:space="preserve">OTG (Conventional)|REHEAT_CRISP</x:t>
        </x:is>
      </x:c>
      <x:c r="B11" s="13" t="inlineStr">
        <x:is>
          <x:t xml:space="preserve">OTG (Conventional)</x:t>
        </x:is>
      </x:c>
      <x:c r="C11" s="13" t="inlineStr">
        <x:is>
          <x:t xml:space="preserve">REHEAT_CRISP</x:t>
        </x:is>
      </x:c>
      <x:c r="D11" s="15" t="n">
        <x:v>0</x:v>
      </x:c>
      <x:c r="E11" s="16" t="n">
        <x:v>1</x:v>
      </x:c>
      <x:c r="F11" s="15" t="n">
        <x:v>15</x:v>
      </x:c>
      <x:c r="G11" s="13" t="inlineStr">
        <x:is>
          <x:t xml:space="preserve">Smaller cavity; rotate once; may brown faster on top.</x:t>
        </x:is>
      </x:c>
    </x:row>
    <x:row r="12">
      <x:c r="A12" s="13" t="inlineStr">
        <x:is>
          <x:t xml:space="preserve">Oven (Convection/Fan)|BAKE_DELICATE</x:t>
        </x:is>
      </x:c>
      <x:c r="B12" s="13" t="inlineStr">
        <x:is>
          <x:t xml:space="preserve">Oven (Convection/Fan)</x:t>
        </x:is>
      </x:c>
      <x:c r="C12" s="13" t="inlineStr">
        <x:is>
          <x:t xml:space="preserve">BAKE_DELICATE</x:t>
        </x:is>
      </x:c>
      <x:c r="D12" s="15" t="n">
        <x:v>-10</x:v>
      </x:c>
      <x:c r="E12" s="16" t="n">
        <x:v>0.9</x:v>
      </x:c>
      <x:c r="F12" s="15" t="n">
        <x:v>10</x:v>
      </x:c>
      <x:c r="G12" s="13" t="inlineStr">
        <x:is>
          <x:t xml:space="preserve">Lower temp slightly; avoid over-drying; check early.</x:t>
        </x:is>
      </x:c>
    </x:row>
    <x:row r="13">
      <x:c r="A13" s="13" t="inlineStr">
        <x:is>
          <x:t xml:space="preserve">Oven (Convection/Fan)|BAKE_STANDARD</x:t>
        </x:is>
      </x:c>
      <x:c r="B13" s="13" t="inlineStr">
        <x:is>
          <x:t xml:space="preserve">Oven (Convection/Fan)</x:t>
        </x:is>
      </x:c>
      <x:c r="C13" s="13" t="inlineStr">
        <x:is>
          <x:t xml:space="preserve">BAKE_STANDARD</x:t>
        </x:is>
      </x:c>
      <x:c r="D13" s="15" t="n">
        <x:v>-15</x:v>
      </x:c>
      <x:c r="E13" s="16" t="n">
        <x:v>0.85</x:v>
      </x:c>
      <x:c r="F13" s="15" t="n">
        <x:v>10</x:v>
      </x:c>
      <x:c r="G13" s="13" t="inlineStr">
        <x:is>
          <x:t xml:space="preserve">Rule-of-thumb: lower temp and/or shorten time; check early.</x:t>
        </x:is>
      </x:c>
    </x:row>
    <x:row r="14">
      <x:c r="A14" s="13" t="inlineStr">
        <x:is>
          <x:t xml:space="preserve">Oven (Convection/Fan)|ROAST</x:t>
        </x:is>
      </x:c>
      <x:c r="B14" s="13" t="inlineStr">
        <x:is>
          <x:t xml:space="preserve">Oven (Convection/Fan)</x:t>
        </x:is>
      </x:c>
      <x:c r="C14" s="13" t="inlineStr">
        <x:is>
          <x:t xml:space="preserve">ROAST</x:t>
        </x:is>
      </x:c>
      <x:c r="D14" s="15" t="n">
        <x:v>-15</x:v>
      </x:c>
      <x:c r="E14" s="16" t="n">
        <x:v>0.85</x:v>
      </x:c>
      <x:c r="F14" s="15" t="n">
        <x:v>10</x:v>
      </x:c>
      <x:c r="G14" s="13" t="inlineStr">
        <x:is>
          <x:t xml:space="preserve">Rule-of-thumb: lower temp and/or shorten time; check early.</x:t>
        </x:is>
      </x:c>
    </x:row>
    <x:row r="15">
      <x:c r="A15" s="13" t="inlineStr">
        <x:is>
          <x:t xml:space="preserve">Oven (Convection/Fan)|GRILL_TOP</x:t>
        </x:is>
      </x:c>
      <x:c r="B15" s="13" t="inlineStr">
        <x:is>
          <x:t xml:space="preserve">Oven (Convection/Fan)</x:t>
        </x:is>
      </x:c>
      <x:c r="C15" s="13" t="inlineStr">
        <x:is>
          <x:t xml:space="preserve">GRILL_TOP</x:t>
        </x:is>
      </x:c>
      <x:c r="D15" s="15" t="n">
        <x:v>0</x:v>
      </x:c>
      <x:c r="E15" s="16" t="n">
        <x:v>0.85</x:v>
      </x:c>
      <x:c r="F15" s="15" t="n">
        <x:v>5</x:v>
      </x:c>
      <x:c r="G15" s="13" t="inlineStr">
        <x:is>
          <x:t xml:space="preserve">Use top heat; watch closely.</x:t>
        </x:is>
      </x:c>
    </x:row>
    <x:row r="16">
      <x:c r="A16" s="13" t="inlineStr">
        <x:is>
          <x:t xml:space="preserve">Oven (Convection/Fan)|REHEAT_CRISP</x:t>
        </x:is>
      </x:c>
      <x:c r="B16" s="13" t="inlineStr">
        <x:is>
          <x:t xml:space="preserve">Oven (Convection/Fan)</x:t>
        </x:is>
      </x:c>
      <x:c r="C16" s="13" t="inlineStr">
        <x:is>
          <x:t xml:space="preserve">REHEAT_CRISP</x:t>
        </x:is>
      </x:c>
      <x:c r="D16" s="15" t="n">
        <x:v>-15</x:v>
      </x:c>
      <x:c r="E16" s="16" t="n">
        <x:v>0.85</x:v>
      </x:c>
      <x:c r="F16" s="15" t="n">
        <x:v>10</x:v>
      </x:c>
      <x:c r="G16" s="13" t="inlineStr">
        <x:is>
          <x:t xml:space="preserve">Rule-of-thumb: lower temp and/or shorten time; check early.</x:t>
        </x:is>
      </x:c>
    </x:row>
    <x:row r="17">
      <x:c r="A17" s="13" t="inlineStr">
        <x:is>
          <x:t xml:space="preserve">OTG (Convection/Fan)|BAKE_DELICATE</x:t>
        </x:is>
      </x:c>
      <x:c r="B17" s="13" t="inlineStr">
        <x:is>
          <x:t xml:space="preserve">OTG (Convection/Fan)</x:t>
        </x:is>
      </x:c>
      <x:c r="C17" s="13" t="inlineStr">
        <x:is>
          <x:t xml:space="preserve">BAKE_DELICATE</x:t>
        </x:is>
      </x:c>
      <x:c r="D17" s="15" t="n">
        <x:v>-10</x:v>
      </x:c>
      <x:c r="E17" s="16" t="n">
        <x:v>0.88</x:v>
      </x:c>
      <x:c r="F17" s="15" t="n">
        <x:v>12</x:v>
      </x:c>
      <x:c r="G17" s="13" t="inlineStr">
        <x:is>
          <x:t xml:space="preserve">Countertop convection is intense; tent if browning.</x:t>
        </x:is>
      </x:c>
    </x:row>
    <x:row r="18">
      <x:c r="A18" s="13" t="inlineStr">
        <x:is>
          <x:t xml:space="preserve">OTG (Convection/Fan)|BAKE_STANDARD</x:t>
        </x:is>
      </x:c>
      <x:c r="B18" s="13" t="inlineStr">
        <x:is>
          <x:t xml:space="preserve">OTG (Convection/Fan)</x:t>
        </x:is>
      </x:c>
      <x:c r="C18" s="13" t="inlineStr">
        <x:is>
          <x:t xml:space="preserve">BAKE_STANDARD</x:t>
        </x:is>
      </x:c>
      <x:c r="D18" s="15" t="n">
        <x:v>-15</x:v>
      </x:c>
      <x:c r="E18" s="16" t="n">
        <x:v>0.82</x:v>
      </x:c>
      <x:c r="F18" s="15" t="n">
        <x:v>12</x:v>
      </x:c>
      <x:c r="G18" s="13" t="inlineStr">
        <x:is>
          <x:t xml:space="preserve">Faster than oven convection due to small cavity; check early.</x:t>
        </x:is>
      </x:c>
    </x:row>
    <x:row r="19">
      <x:c r="A19" s="13" t="inlineStr">
        <x:is>
          <x:t xml:space="preserve">OTG (Convection/Fan)|ROAST</x:t>
        </x:is>
      </x:c>
      <x:c r="B19" s="13" t="inlineStr">
        <x:is>
          <x:t xml:space="preserve">OTG (Convection/Fan)</x:t>
        </x:is>
      </x:c>
      <x:c r="C19" s="13" t="inlineStr">
        <x:is>
          <x:t xml:space="preserve">ROAST</x:t>
        </x:is>
      </x:c>
      <x:c r="D19" s="15" t="n">
        <x:v>-15</x:v>
      </x:c>
      <x:c r="E19" s="16" t="n">
        <x:v>0.82</x:v>
      </x:c>
      <x:c r="F19" s="15" t="n">
        <x:v>12</x:v>
      </x:c>
      <x:c r="G19" s="13" t="inlineStr">
        <x:is>
          <x:t xml:space="preserve">Faster than oven convection due to small cavity; check early.</x:t>
        </x:is>
      </x:c>
    </x:row>
    <x:row r="20">
      <x:c r="A20" s="13" t="inlineStr">
        <x:is>
          <x:t xml:space="preserve">OTG (Convection/Fan)|GRILL_TOP</x:t>
        </x:is>
      </x:c>
      <x:c r="B20" s="13" t="inlineStr">
        <x:is>
          <x:t xml:space="preserve">OTG (Convection/Fan)</x:t>
        </x:is>
      </x:c>
      <x:c r="C20" s="13" t="inlineStr">
        <x:is>
          <x:t xml:space="preserve">GRILL_TOP</x:t>
        </x:is>
      </x:c>
      <x:c r="D20" s="15" t="n">
        <x:v>0</x:v>
      </x:c>
      <x:c r="E20" s="16" t="n">
        <x:v>0.8</x:v>
      </x:c>
      <x:c r="F20" s="15" t="n">
        <x:v>5</x:v>
      </x:c>
      <x:c r="G20" s="13" t="inlineStr">
        <x:is>
          <x:t xml:space="preserve">Top element is close; watch closely.</x:t>
        </x:is>
      </x:c>
    </x:row>
    <x:row r="21">
      <x:c r="A21" s="13" t="inlineStr">
        <x:is>
          <x:t xml:space="preserve">OTG (Convection/Fan)|REHEAT_CRISP</x:t>
        </x:is>
      </x:c>
      <x:c r="B21" s="13" t="inlineStr">
        <x:is>
          <x:t xml:space="preserve">OTG (Convection/Fan)</x:t>
        </x:is>
      </x:c>
      <x:c r="C21" s="13" t="inlineStr">
        <x:is>
          <x:t xml:space="preserve">REHEAT_CRISP</x:t>
        </x:is>
      </x:c>
      <x:c r="D21" s="15" t="n">
        <x:v>-15</x:v>
      </x:c>
      <x:c r="E21" s="16" t="n">
        <x:v>0.82</x:v>
      </x:c>
      <x:c r="F21" s="15" t="n">
        <x:v>12</x:v>
      </x:c>
      <x:c r="G21" s="13" t="inlineStr">
        <x:is>
          <x:t xml:space="preserve">Faster than oven convection due to small cavity; check early.</x:t>
        </x:is>
      </x:c>
    </x:row>
    <x:row r="22">
      <x:c r="A22" s="13" t="inlineStr">
        <x:is>
          <x:t xml:space="preserve">Convection Microwave (Convection mode)|BAKE_DELICATE</x:t>
        </x:is>
      </x:c>
      <x:c r="B22" s="13" t="inlineStr">
        <x:is>
          <x:t xml:space="preserve">Convection Microwave (Convection mode)</x:t>
        </x:is>
      </x:c>
      <x:c r="C22" s="13" t="inlineStr">
        <x:is>
          <x:t xml:space="preserve">BAKE_DELICATE</x:t>
        </x:is>
      </x:c>
      <x:c r="D22" s="15" t="n">
        <x:v>-10</x:v>
      </x:c>
      <x:c r="E22" s="16" t="n">
        <x:v>0.95</x:v>
      </x:c>
      <x:c r="F22" s="15" t="n">
        <x:v>8</x:v>
      </x:c>
      <x:c r="G22" s="13" t="inlineStr">
        <x:is>
          <x:t xml:space="preserve">Often keep bake time similar; use low fan if available.</x:t>
        </x:is>
      </x:c>
    </x:row>
    <x:row r="23">
      <x:c r="A23" s="13" t="inlineStr">
        <x:is>
          <x:t xml:space="preserve">Convection Microwave (Convection mode)|BAKE_STANDARD</x:t>
        </x:is>
      </x:c>
      <x:c r="B23" s="13" t="inlineStr">
        <x:is>
          <x:t xml:space="preserve">Convection Microwave (Convection mode)</x:t>
        </x:is>
      </x:c>
      <x:c r="C23" s="13" t="inlineStr">
        <x:is>
          <x:t xml:space="preserve">BAKE_STANDARD</x:t>
        </x:is>
      </x:c>
      <x:c r="D23" s="15" t="n">
        <x:v>-15</x:v>
      </x:c>
      <x:c r="E23" s="16" t="n">
        <x:v>0.88</x:v>
      </x:c>
      <x:c r="F23" s="15" t="n">
        <x:v>8</x:v>
      </x:c>
      <x:c r="G23" s="13" t="inlineStr">
        <x:is>
          <x:t xml:space="preserve">Smaller cavity; check 5–10 min early for long bakes.</x:t>
        </x:is>
      </x:c>
    </x:row>
    <x:row r="24">
      <x:c r="A24" s="13" t="inlineStr">
        <x:is>
          <x:t xml:space="preserve">Convection Microwave (Convection mode)|ROAST</x:t>
        </x:is>
      </x:c>
      <x:c r="B24" s="13" t="inlineStr">
        <x:is>
          <x:t xml:space="preserve">Convection Microwave (Convection mode)</x:t>
        </x:is>
      </x:c>
      <x:c r="C24" s="13" t="inlineStr">
        <x:is>
          <x:t xml:space="preserve">ROAST</x:t>
        </x:is>
      </x:c>
      <x:c r="D24" s="15" t="n">
        <x:v>-15</x:v>
      </x:c>
      <x:c r="E24" s="16" t="n">
        <x:v>0.8</x:v>
      </x:c>
      <x:c r="F24" s="15" t="n">
        <x:v>8</x:v>
      </x:c>
      <x:c r="G24" s="13" t="inlineStr">
        <x:is>
          <x:t xml:space="preserve">Roasts can cook 20%+ faster; use thermometer.</x:t>
        </x:is>
      </x:c>
    </x:row>
    <x:row r="25">
      <x:c r="A25" s="13" t="inlineStr">
        <x:is>
          <x:t xml:space="preserve">Convection Microwave (Convection mode)|GRILL_TOP</x:t>
        </x:is>
      </x:c>
      <x:c r="B25" s="13" t="inlineStr">
        <x:is>
          <x:t xml:space="preserve">Convection Microwave (Convection mode)</x:t>
        </x:is>
      </x:c>
      <x:c r="C25" s="13" t="inlineStr">
        <x:is>
          <x:t xml:space="preserve">GRILL_TOP</x:t>
        </x:is>
      </x:c>
      <x:c r="D25" s="15" t="n">
        <x:v>0</x:v>
      </x:c>
      <x:c r="E25" s="16" t="n">
        <x:v>0.75</x:v>
      </x:c>
      <x:c r="F25" s="15" t="n">
        <x:v>5</x:v>
      </x:c>
      <x:c r="G25" s="13" t="inlineStr">
        <x:is>
          <x:t xml:space="preserve">Use grill element to brown; short bursts.</x:t>
        </x:is>
      </x:c>
    </x:row>
    <x:row r="26">
      <x:c r="A26" s="13" t="inlineStr">
        <x:is>
          <x:t xml:space="preserve">Convection Microwave (Convection mode)|REHEAT_CRISP</x:t>
        </x:is>
      </x:c>
      <x:c r="B26" s="13" t="inlineStr">
        <x:is>
          <x:t xml:space="preserve">Convection Microwave (Convection mode)</x:t>
        </x:is>
      </x:c>
      <x:c r="C26" s="13" t="inlineStr">
        <x:is>
          <x:t xml:space="preserve">REHEAT_CRISP</x:t>
        </x:is>
      </x:c>
      <x:c r="D26" s="15" t="n">
        <x:v>-10</x:v>
      </x:c>
      <x:c r="E26" s="16" t="n">
        <x:v>0.8</x:v>
      </x:c>
      <x:c r="F26" s="15" t="n">
        <x:v>5</x:v>
      </x:c>
      <x:c r="G26" s="13" t="inlineStr">
        <x:is>
          <x:t xml:space="preserve">Best for crisping small portions; watch closely.</x:t>
        </x:is>
      </x:c>
    </x:row>
    <x:row r="27">
      <x:c r="A27" s="13" t="inlineStr">
        <x:is>
          <x:t xml:space="preserve">Air Fryer (Basket)|BAKE_DELICATE</x:t>
        </x:is>
      </x:c>
      <x:c r="B27" s="13" t="inlineStr">
        <x:is>
          <x:t xml:space="preserve">Air Fryer (Basket)</x:t>
        </x:is>
      </x:c>
      <x:c r="C27" s="13" t="inlineStr">
        <x:is>
          <x:t xml:space="preserve">BAKE_DELICATE</x:t>
        </x:is>
      </x:c>
      <x:c r="D27" s="15" t="n">
        <x:v>-10</x:v>
      </x:c>
      <x:c r="E27" s="16" t="n">
        <x:v>0.9</x:v>
      </x:c>
      <x:c r="F27" s="15" t="n">
        <x:v>3</x:v>
      </x:c>
      <x:c r="G27" s="13" t="inlineStr">
        <x:is>
          <x:t xml:space="preserve">Use small pan/ramekin; avoid tall cakes; cover top if browning.</x:t>
        </x:is>
      </x:c>
    </x:row>
    <x:row r="28">
      <x:c r="A28" s="13" t="inlineStr">
        <x:is>
          <x:t xml:space="preserve">Air Fryer (Basket)|BAKE_STANDARD</x:t>
        </x:is>
      </x:c>
      <x:c r="B28" s="13" t="inlineStr">
        <x:is>
          <x:t xml:space="preserve">Air Fryer (Basket)</x:t>
        </x:is>
      </x:c>
      <x:c r="C28" s="13" t="inlineStr">
        <x:is>
          <x:t xml:space="preserve">BAKE_STANDARD</x:t>
        </x:is>
      </x:c>
      <x:c r="D28" s="15" t="n">
        <x:v>-10</x:v>
      </x:c>
      <x:c r="E28" s="16" t="n">
        <x:v>0.8</x:v>
      </x:c>
      <x:c r="F28" s="15" t="n">
        <x:v>3</x:v>
      </x:c>
      <x:c r="G28" s="13" t="inlineStr">
        <x:is>
          <x:t xml:space="preserve">Typical conversion: slightly lower temp, ~20% less time; check early.</x:t>
        </x:is>
      </x:c>
    </x:row>
    <x:row r="29">
      <x:c r="A29" s="13" t="inlineStr">
        <x:is>
          <x:t xml:space="preserve">Air Fryer (Basket)|ROAST</x:t>
        </x:is>
      </x:c>
      <x:c r="B29" s="13" t="inlineStr">
        <x:is>
          <x:t xml:space="preserve">Air Fryer (Basket)</x:t>
        </x:is>
      </x:c>
      <x:c r="C29" s="13" t="inlineStr">
        <x:is>
          <x:t xml:space="preserve">ROAST</x:t>
        </x:is>
      </x:c>
      <x:c r="D29" s="15" t="n">
        <x:v>-10</x:v>
      </x:c>
      <x:c r="E29" s="16" t="n">
        <x:v>0.8</x:v>
      </x:c>
      <x:c r="F29" s="15" t="n">
        <x:v>3</x:v>
      </x:c>
      <x:c r="G29" s="13" t="inlineStr">
        <x:is>
          <x:t xml:space="preserve">Typical conversion: slightly lower temp, ~20% less time; check early.</x:t>
        </x:is>
      </x:c>
    </x:row>
    <x:row r="30">
      <x:c r="A30" s="13" t="inlineStr">
        <x:is>
          <x:t xml:space="preserve">Air Fryer (Basket)|GRILL_TOP</x:t>
        </x:is>
      </x:c>
      <x:c r="B30" s="13" t="inlineStr">
        <x:is>
          <x:t xml:space="preserve">Air Fryer (Basket)</x:t>
        </x:is>
      </x:c>
      <x:c r="C30" s="13" t="inlineStr">
        <x:is>
          <x:t xml:space="preserve">GRILL_TOP</x:t>
        </x:is>
      </x:c>
      <x:c r="D30" s="15" t="n">
        <x:v>-10</x:v>
      </x:c>
      <x:c r="E30" s="16" t="n">
        <x:v>0.7</x:v>
      </x:c>
      <x:c r="F30" s="15" t="n">
        <x:v>3</x:v>
      </x:c>
      <x:c r="G30" s="13" t="inlineStr">
        <x:is>
          <x:t xml:space="preserve">Acts like a powerful broiler; flip/turn frequently.</x:t>
        </x:is>
      </x:c>
    </x:row>
    <x:row r="31">
      <x:c r="A31" s="13" t="inlineStr">
        <x:is>
          <x:t xml:space="preserve">Air Fryer (Basket)|REHEAT_CRISP</x:t>
        </x:is>
      </x:c>
      <x:c r="B31" s="13" t="inlineStr">
        <x:is>
          <x:t xml:space="preserve">Air Fryer (Basket)</x:t>
        </x:is>
      </x:c>
      <x:c r="C31" s="13" t="inlineStr">
        <x:is>
          <x:t xml:space="preserve">REHEAT_CRISP</x:t>
        </x:is>
      </x:c>
      <x:c r="D31" s="15" t="n">
        <x:v>-10</x:v>
      </x:c>
      <x:c r="E31" s="16" t="n">
        <x:v>0.75</x:v>
      </x:c>
      <x:c r="F31" s="15" t="n">
        <x:v>3</x:v>
      </x:c>
      <x:c r="G31" s="13" t="inlineStr">
        <x:is>
          <x:t xml:space="preserve">Shake/flip half-way for even crisping.</x:t>
        </x:is>
      </x:c>
    </x:row>
    <x:row r="32">
      <x:c r="A32" s="13" t="inlineStr">
        <x:is>
          <x:t xml:space="preserve">Air Fryer (Oven-style)|BAKE_DELICATE</x:t>
        </x:is>
      </x:c>
      <x:c r="B32" s="13" t="inlineStr">
        <x:is>
          <x:t xml:space="preserve">Air Fryer (Oven-style)</x:t>
        </x:is>
      </x:c>
      <x:c r="C32" s="13" t="inlineStr">
        <x:is>
          <x:t xml:space="preserve">BAKE_DELICATE</x:t>
        </x:is>
      </x:c>
      <x:c r="D32" s="15" t="n">
        <x:v>-10</x:v>
      </x:c>
      <x:c r="E32" s="16" t="n">
        <x:v>0.92</x:v>
      </x:c>
      <x:c r="F32" s="15" t="n">
        <x:v>4</x:v>
      </x:c>
      <x:c r="G32" s="13" t="inlineStr">
        <x:is>
          <x:t xml:space="preserve">Use middle rack; cover top if browning.</x:t>
        </x:is>
      </x:c>
    </x:row>
    <x:row r="33">
      <x:c r="A33" s="13" t="inlineStr">
        <x:is>
          <x:t xml:space="preserve">Air Fryer (Oven-style)|BAKE_STANDARD</x:t>
        </x:is>
      </x:c>
      <x:c r="B33" s="13" t="inlineStr">
        <x:is>
          <x:t xml:space="preserve">Air Fryer (Oven-style)</x:t>
        </x:is>
      </x:c>
      <x:c r="C33" s="13" t="inlineStr">
        <x:is>
          <x:t xml:space="preserve">BAKE_STANDARD</x:t>
        </x:is>
      </x:c>
      <x:c r="D33" s="15" t="n">
        <x:v>-10</x:v>
      </x:c>
      <x:c r="E33" s="16" t="n">
        <x:v>0.82</x:v>
      </x:c>
      <x:c r="F33" s="15" t="n">
        <x:v>4</x:v>
      </x:c>
      <x:c r="G33" s="13" t="inlineStr">
        <x:is>
          <x:t xml:space="preserve">Slightly slower than basket; still faster than oven.</x:t>
        </x:is>
      </x:c>
    </x:row>
    <x:row r="34">
      <x:c r="A34" s="13" t="inlineStr">
        <x:is>
          <x:t xml:space="preserve">Air Fryer (Oven-style)|ROAST</x:t>
        </x:is>
      </x:c>
      <x:c r="B34" s="13" t="inlineStr">
        <x:is>
          <x:t xml:space="preserve">Air Fryer (Oven-style)</x:t>
        </x:is>
      </x:c>
      <x:c r="C34" s="13" t="inlineStr">
        <x:is>
          <x:t xml:space="preserve">ROAST</x:t>
        </x:is>
      </x:c>
      <x:c r="D34" s="15" t="n">
        <x:v>-10</x:v>
      </x:c>
      <x:c r="E34" s="16" t="n">
        <x:v>0.82</x:v>
      </x:c>
      <x:c r="F34" s="15" t="n">
        <x:v>4</x:v>
      </x:c>
      <x:c r="G34" s="13" t="inlineStr">
        <x:is>
          <x:t xml:space="preserve">Slightly slower than basket; still faster than oven.</x:t>
        </x:is>
      </x:c>
    </x:row>
    <x:row r="35">
      <x:c r="A35" s="13" t="inlineStr">
        <x:is>
          <x:t xml:space="preserve">Air Fryer (Oven-style)|GRILL_TOP</x:t>
        </x:is>
      </x:c>
      <x:c r="B35" s="13" t="inlineStr">
        <x:is>
          <x:t xml:space="preserve">Air Fryer (Oven-style)</x:t>
        </x:is>
      </x:c>
      <x:c r="C35" s="13" t="inlineStr">
        <x:is>
          <x:t xml:space="preserve">GRILL_TOP</x:t>
        </x:is>
      </x:c>
      <x:c r="D35" s="15" t="n">
        <x:v>-10</x:v>
      </x:c>
      <x:c r="E35" s="16" t="n">
        <x:v>0.72</x:v>
      </x:c>
      <x:c r="F35" s="15" t="n">
        <x:v>4</x:v>
      </x:c>
      <x:c r="G35" s="13" t="inlineStr">
        <x:is>
          <x:t xml:space="preserve">Use top rack for browning; watch closely.</x:t>
        </x:is>
      </x:c>
    </x:row>
    <x:row r="36">
      <x:c r="A36" s="13" t="inlineStr">
        <x:is>
          <x:t xml:space="preserve">Air Fryer (Oven-style)|REHEAT_CRISP</x:t>
        </x:is>
      </x:c>
      <x:c r="B36" s="13" t="inlineStr">
        <x:is>
          <x:t xml:space="preserve">Air Fryer (Oven-style)</x:t>
        </x:is>
      </x:c>
      <x:c r="C36" s="13" t="inlineStr">
        <x:is>
          <x:t xml:space="preserve">REHEAT_CRISP</x:t>
        </x:is>
      </x:c>
      <x:c r="D36" s="15" t="n">
        <x:v>-10</x:v>
      </x:c>
      <x:c r="E36" s="16" t="n">
        <x:v>0.78</x:v>
      </x:c>
      <x:c r="F36" s="15" t="n">
        <x:v>4</x:v>
      </x:c>
      <x:c r="G36" s="13" t="inlineStr">
        <x:is>
          <x:t xml:space="preserve">Airflow still strong; rotate trays if needed.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customWidth="1"/>
    <x:col min="2" max="2" width="18" customWidth="1"/>
    <x:col min="3" max="3" width="12" customWidth="1"/>
    <x:col min="4" max="4" width="56" customWidth="1"/>
    <x:col min="5" max="5" width="14" customWidth="1"/>
    <x:col min="6" max="6" width="14" customWidth="1"/>
  </x:cols>
  <x:sheetData>
    <x:row r="1">
      <x:c r="A1" s="17" t="inlineStr">
        <x:is>
          <x:t xml:space="preserve">Global controls (you can tweak these if your device runs hot/cold)</x:t>
        </x:is>
      </x:c>
    </x:row>
    <x:row r="2">
      <x:c r="A2" s="18" t="inlineStr">
        <x:is>
          <x:t xml:space="preserve">Quantity exponent (time scales ~ multiplier^exponent)</x:t>
        </x:is>
      </x:c>
      <x:c r="B2" s="10" t="n">
        <x:v>0.65</x:v>
      </x:c>
    </x:row>
    <x:row r="3">
      <x:c r="A3" s="18" t="inlineStr">
        <x:is>
          <x:t xml:space="preserve">Thickness exponent (time scales ~ multiplier^exponent)</x:t>
        </x:is>
      </x:c>
      <x:c r="B3" s="10" t="n">
        <x:v>0.5</x:v>
      </x:c>
    </x:row>
    <x:row r="4">
      <x:c r="A4" s="18" t="inlineStr">
        <x:is>
          <x:t xml:space="preserve">Extra time if starting from frozen</x:t>
        </x:is>
      </x:c>
      <x:c r="B4" s="10" t="n">
        <x:v>1.15</x:v>
      </x:c>
    </x:row>
    <x:row r="5">
      <x:c r="A5" s="18" t="inlineStr">
        <x:is>
          <x:t xml:space="preserve">Extra time if overcrowded (poor airflow)</x:t>
        </x:is>
      </x:c>
      <x:c r="B5" s="10" t="n">
        <x:v>1.1</x:v>
      </x:c>
    </x:row>
    <x:row r="8">
      <x:c r="A8" s="17" t="inlineStr">
        <x:is>
          <x:t xml:space="preserve">Container / cookware adjustments</x:t>
        </x:is>
      </x:c>
    </x:row>
    <x:row r="9" ht="22" customHeight="1">
      <x:c r="A9" s="12" t="inlineStr">
        <x:is>
          <x:t xml:space="preserve">Container</x:t>
        </x:is>
      </x:c>
      <x:c r="B9" s="12" t="inlineStr">
        <x:is>
          <x:t xml:space="preserve">TempOffsetC</x:t>
        </x:is>
      </x:c>
      <x:c r="C9" s="12" t="inlineStr">
        <x:is>
          <x:t xml:space="preserve">TimeFactor</x:t>
        </x:is>
      </x:c>
      <x:c r="D9" s="12" t="inlineStr">
        <x:is>
          <x:t xml:space="preserve">Notes</x:t>
        </x:is>
      </x:c>
    </x:row>
    <x:row r="10">
      <x:c r="A10" s="13" t="inlineStr">
        <x:is>
          <x:t xml:space="preserve">Metal (light / shiny)</x:t>
        </x:is>
      </x:c>
      <x:c r="B10" s="14" t="n">
        <x:v>0</x:v>
      </x:c>
      <x:c r="C10" s="19" t="n">
        <x:v>1</x:v>
      </x:c>
      <x:c r="D10" s="13" t="inlineStr">
        <x:is>
          <x:t xml:space="preserve">Baseline.</x:t>
        </x:is>
      </x:c>
    </x:row>
    <x:row r="11">
      <x:c r="A11" s="13" t="inlineStr">
        <x:is>
          <x:t xml:space="preserve">Metal (dark / non-stick)</x:t>
        </x:is>
      </x:c>
      <x:c r="B11" s="14" t="n">
        <x:v>-5</x:v>
      </x:c>
      <x:c r="C11" s="19" t="n">
        <x:v>0.98</x:v>
      </x:c>
      <x:c r="D11" s="13" t="inlineStr">
        <x:is>
          <x:t xml:space="preserve">Browns faster; consider slightly lower temp.</x:t>
        </x:is>
      </x:c>
    </x:row>
    <x:row r="12">
      <x:c r="A12" s="13" t="inlineStr">
        <x:is>
          <x:t xml:space="preserve">Glass / ceramic</x:t>
        </x:is>
      </x:c>
      <x:c r="B12" s="14" t="n">
        <x:v>-10</x:v>
      </x:c>
      <x:c r="C12" s="19" t="n">
        <x:v>1.05</x:v>
      </x:c>
      <x:c r="D12" s="13" t="inlineStr">
        <x:is>
          <x:t xml:space="preserve">Holds heat; often needs lower temp and slightly more time.</x:t>
        </x:is>
      </x:c>
    </x:row>
    <x:row r="13">
      <x:c r="A13" s="13" t="inlineStr">
        <x:is>
          <x:t xml:space="preserve">Silicone</x:t>
        </x:is>
      </x:c>
      <x:c r="B13" s="14" t="n">
        <x:v>0</x:v>
      </x:c>
      <x:c r="C13" s="19" t="n">
        <x:v>1.08</x:v>
      </x:c>
      <x:c r="D13" s="13" t="inlineStr">
        <x:is>
          <x:t xml:space="preserve">Insulates; may need a little longer.</x:t>
        </x:is>
      </x:c>
    </x:row>
    <x:row r="14">
      <x:c r="A14" s="13" t="inlineStr">
        <x:is>
          <x:t xml:space="preserve">Wire rack / no pan</x:t>
        </x:is>
      </x:c>
      <x:c r="B14" s="14" t="n">
        <x:v>0</x:v>
      </x:c>
      <x:c r="C14" s="19" t="n">
        <x:v>0.95</x:v>
      </x:c>
      <x:c r="D14" s="13" t="inlineStr">
        <x:is>
          <x:t xml:space="preserve">More airflow; cooks a bit faster.</x:t>
        </x:is>
      </x:c>
    </x:row>
    <x:row r="15">
      <x:c r="A15" s="13" t="inlineStr">
        <x:is>
          <x:t xml:space="preserve">Air fryer basket</x:t>
        </x:is>
      </x:c>
      <x:c r="B15" s="14" t="n">
        <x:v>0</x:v>
      </x:c>
      <x:c r="C15" s="19" t="n">
        <x:v>0.9</x:v>
      </x:c>
      <x:c r="D15" s="13" t="inlineStr">
        <x:is>
          <x:t xml:space="preserve">Strong airflow; shake/flip.</x:t>
        </x:is>
      </x:c>
    </x:row>
    <x:row r="18">
      <x:c r="A18" s="17" t="inlineStr">
        <x:is>
          <x:t xml:space="preserve">Rack position adjustments</x:t>
        </x:is>
      </x:c>
    </x:row>
    <x:row r="19" ht="22" customHeight="1">
      <x:c r="A19" s="12" t="inlineStr">
        <x:is>
          <x:t xml:space="preserve">Rack</x:t>
        </x:is>
      </x:c>
      <x:c r="B19" s="12" t="inlineStr">
        <x:is>
          <x:t xml:space="preserve">TempOffsetC</x:t>
        </x:is>
      </x:c>
      <x:c r="C19" s="12" t="inlineStr">
        <x:is>
          <x:t xml:space="preserve">TimeFactor</x:t>
        </x:is>
      </x:c>
      <x:c r="D19" s="12" t="inlineStr">
        <x:is>
          <x:t xml:space="preserve">Notes</x:t>
        </x:is>
      </x:c>
    </x:row>
    <x:row r="20">
      <x:c r="A20" s="13" t="inlineStr">
        <x:is>
          <x:t xml:space="preserve">Top</x:t>
        </x:is>
      </x:c>
      <x:c r="B20" s="14" t="n">
        <x:v>0</x:v>
      </x:c>
      <x:c r="C20" s="19" t="n">
        <x:v>1</x:v>
      </x:c>
      <x:c r="D20" s="13" t="inlineStr">
        <x:is>
          <x:t xml:space="preserve">More browning; watch tops.</x:t>
        </x:is>
      </x:c>
    </x:row>
    <x:row r="21">
      <x:c r="A21" s="13" t="inlineStr">
        <x:is>
          <x:t xml:space="preserve">Middle</x:t>
        </x:is>
      </x:c>
      <x:c r="B21" s="14" t="n">
        <x:v>0</x:v>
      </x:c>
      <x:c r="C21" s="19" t="n">
        <x:v>1</x:v>
      </x:c>
      <x:c r="D21" s="13" t="inlineStr">
        <x:is>
          <x:t xml:space="preserve">Most even for baking/roasting.</x:t>
        </x:is>
      </x:c>
    </x:row>
    <x:row r="22">
      <x:c r="A22" s="13" t="inlineStr">
        <x:is>
          <x:t xml:space="preserve">Bottom</x:t>
        </x:is>
      </x:c>
      <x:c r="B22" s="14" t="n">
        <x:v>0</x:v>
      </x:c>
      <x:c r="C22" s="19" t="n">
        <x:v>1.03</x:v>
      </x:c>
      <x:c r="D22" s="13" t="inlineStr">
        <x:is>
          <x:t xml:space="preserve">Slower browning on top; good for crisp bases.</x:t>
        </x:is>
      </x:c>
    </x:row>
  </x:sheetData>
  <x:mergeCells>
    <x:mergeCell ref="A8:F8"/>
    <x:mergeCell ref="A1:F1"/>
    <x:mergeCell ref="A18:F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>
      <x:c r="A1" s="20" t="inlineStr">
        <x:is>
          <x:t xml:space="preserve">GetBakinGood — How to use this workbook</x:t>
        </x:is>
      </x:c>
    </x:row>
    <x:row r="2">
      <x:c r="A2" s="21" t="inlineStr">
        <x:is>
          <x:t xml:space="preserve">Tip: blue cells are editable inputs.</x:t>
        </x:is>
      </x:c>
    </x:row>
    <x:row r="4">
      <x:c r="A4" s="17" t="inlineStr">
        <x:is>
          <x:t xml:space="preserve">What GetBakinGood does</x:t>
        </x:is>
      </x:c>
    </x:row>
    <x:row r="5" ht="60" customHeight="1">
      <x:c r="A5" s="22" t="inlineStr">
        <x:is>
          <x:t xml:space="preserve">Pick a dish preset OR enter your own recipe settings, then choose your device and GetBakinGood suggests adjusted temperature, time and key setup notes.
It uses device-specific conversion rules (fan convection, convection microwave, air fryer) plus optional adjustments for quantity, thickness and cookware.</x:t>
        </x:is>
      </x:c>
    </x:row>
    <x:row r="7">
      <x:c r="A7" s="17" t="inlineStr">
        <x:is>
          <x:t xml:space="preserve">Good defaults (but verify once)</x:t>
        </x:is>
      </x:c>
    </x:row>
    <x:row r="8" ht="60" customHeight="1">
      <x:c r="A8" s="22" t="inlineStr">
        <x:is>
          <x:t xml:space="preserve">Convection/fan typically needs a slightly lower temperature and/or shorter cook time than a conventional oven.
Air fryers are usually faster and may need a slightly lower temperature.
Always check earlier on your first attempt with a new device/model.</x:t>
        </x:is>
      </x:c>
    </x:row>
    <x:row r="10">
      <x:c r="A10" s="17" t="inlineStr">
        <x:is>
          <x:t xml:space="preserve">Accuracy checklist</x:t>
        </x:is>
      </x:c>
    </x:row>
    <x:row r="11" ht="60" customHeight="1">
      <x:c r="A11" s="22" t="inlineStr">
        <x:is>
          <x:t xml:space="preserve">• Preheat properly (OTGs often need more time).
• Use the right rack (middle = most even; bottom = crisp base; top = browning).
• Don’t overcrowd trays/baskets (air needs room).
• Rotate once if your device has hotspots.
• For meat/fish, use an instant-read thermometer when possible.</x:t>
        </x:is>
      </x:c>
    </x:row>
    <x:row r="13">
      <x:c r="A13" s="17" t="inlineStr">
        <x:is>
          <x:t xml:space="preserve">Microwave note</x:t>
        </x:is>
      </x:c>
    </x:row>
    <x:row r="14" ht="60" customHeight="1">
      <x:c r="A14" s="22" t="inlineStr">
        <x:is>
          <x:t xml:space="preserve">These conversions apply to convection mode or grill mode. Plain microwave mode is not suitable for most baking.</x:t>
        </x:is>
      </x:c>
    </x:row>
    <x:row r="16">
      <x:c r="A16" s="17" t="inlineStr">
        <x:is>
          <x:t xml:space="preserve">Safety</x:t>
        </x:is>
      </x:c>
    </x:row>
    <x:row r="17" ht="60" customHeight="1">
      <x:c r="A17" s="22" t="inlineStr">
        <x:is>
          <x:t xml:space="preserve">All temps/times are starting points. Food safety depends on internal temperature and handling. Use trusted food-safety guidance.</x:t>
        </x:is>
      </x:c>
    </x:row>
  </x:sheetData>
  <x:mergeCells>
    <x:mergeCell ref="A1:H1"/>
    <x:mergeCell ref="A4:H4"/>
    <x:mergeCell ref="A7:H7"/>
    <x:mergeCell ref="A16:H16"/>
    <x:mergeCell ref="A10:H10"/>
    <x:mergeCell ref="A13:H13"/>
    <x:mergeCell ref="A11:H11"/>
    <x:mergeCell ref="A14:H14"/>
    <x:mergeCell ref="A5:H5"/>
    <x:mergeCell ref="A8:H8"/>
    <x:mergeCell ref="A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customWidth="1"/>
    <x:col min="2" max="2" width="14" customWidth="1"/>
    <x:col min="3" max="3" width="14" customWidth="1"/>
    <x:col min="4" max="4" width="12" customWidth="1"/>
    <x:col min="5" max="5" width="52" customWidth="1"/>
  </x:cols>
  <x:sheetData>
    <x:row r="1" ht="22" customHeight="1">
      <x:c r="A1" s="12" t="inlineStr">
        <x:is>
          <x:t xml:space="preserve">Device</x:t>
        </x:is>
      </x:c>
      <x:c r="B1" s="12" t="inlineStr">
        <x:is>
          <x:t xml:space="preserve">Alias</x:t>
        </x:is>
      </x:c>
      <x:c r="C1" s="12" t="inlineStr">
        <x:is>
          <x:t xml:space="preserve">Type</x:t>
        </x:is>
      </x:c>
      <x:c r="D1" s="12" t="inlineStr">
        <x:is>
          <x:t xml:space="preserve">Cavity</x:t>
        </x:is>
      </x:c>
      <x:c r="E1" s="12" t="inlineStr">
        <x:is>
          <x:t xml:space="preserve">Notes</x:t>
        </x:is>
      </x:c>
    </x:row>
    <x:row r="2">
      <x:c r="A2" s="13" t="inlineStr">
        <x:is>
          <x:t xml:space="preserve">Oven (Conventional)</x:t>
        </x:is>
      </x:c>
      <x:c r="B2" s="13" t="inlineStr">
        <x:is>
          <x:t xml:space="preserve">OVEN_CONV</x:t>
        </x:is>
      </x:c>
      <x:c r="C2" s="13" t="inlineStr">
        <x:is>
          <x:t xml:space="preserve">Conventional</x:t>
        </x:is>
      </x:c>
      <x:c r="D2" s="13" t="inlineStr">
        <x:is>
          <x:t xml:space="preserve">Full-size</x:t>
        </x:is>
      </x:c>
      <x:c r="E2" s="13" t="inlineStr">
        <x:is>
          <x:t xml:space="preserve">Baseline for most recipes.</x:t>
        </x:is>
      </x:c>
    </x:row>
    <x:row r="3">
      <x:c r="A3" s="13" t="inlineStr">
        <x:is>
          <x:t xml:space="preserve">OTG (Conventional)</x:t>
        </x:is>
      </x:c>
      <x:c r="B3" s="13" t="inlineStr">
        <x:is>
          <x:t xml:space="preserve">OTG_CONV</x:t>
        </x:is>
      </x:c>
      <x:c r="C3" s="13" t="inlineStr">
        <x:is>
          <x:t xml:space="preserve">Conventional</x:t>
        </x:is>
      </x:c>
      <x:c r="D3" s="13" t="inlineStr">
        <x:is>
          <x:t xml:space="preserve">Countertop</x:t>
        </x:is>
      </x:c>
      <x:c r="E3" s="13" t="inlineStr">
        <x:is>
          <x:t xml:space="preserve">Often needs longer preheat; rotate once for even browning.</x:t>
        </x:is>
      </x:c>
    </x:row>
    <x:row r="4">
      <x:c r="A4" s="13" t="inlineStr">
        <x:is>
          <x:t xml:space="preserve">Oven (Convection/Fan)</x:t>
        </x:is>
      </x:c>
      <x:c r="B4" s="13" t="inlineStr">
        <x:is>
          <x:t xml:space="preserve">OVEN_FAN</x:t>
        </x:is>
      </x:c>
      <x:c r="C4" s="13" t="inlineStr">
        <x:is>
          <x:t xml:space="preserve">Convection</x:t>
        </x:is>
      </x:c>
      <x:c r="D4" s="13" t="inlineStr">
        <x:is>
          <x:t xml:space="preserve">Full-size</x:t>
        </x:is>
      </x:c>
      <x:c r="E4" s="13" t="inlineStr">
        <x:is>
          <x:t xml:space="preserve">Fan circulates heat; typically lower temp and/or shorten time.</x:t>
        </x:is>
      </x:c>
    </x:row>
    <x:row r="5">
      <x:c r="A5" s="13" t="inlineStr">
        <x:is>
          <x:t xml:space="preserve">OTG (Convection/Fan)</x:t>
        </x:is>
      </x:c>
      <x:c r="B5" s="13" t="inlineStr">
        <x:is>
          <x:t xml:space="preserve">OTG_FAN</x:t>
        </x:is>
      </x:c>
      <x:c r="C5" s="13" t="inlineStr">
        <x:is>
          <x:t xml:space="preserve">Convection</x:t>
        </x:is>
      </x:c>
      <x:c r="D5" s="13" t="inlineStr">
        <x:is>
          <x:t xml:space="preserve">Countertop</x:t>
        </x:is>
      </x:c>
      <x:c r="E5" s="13" t="inlineStr">
        <x:is>
          <x:t xml:space="preserve">Faster than OTG conventional; watch browning near heating elements.</x:t>
        </x:is>
      </x:c>
    </x:row>
    <x:row r="6">
      <x:c r="A6" s="13" t="inlineStr">
        <x:is>
          <x:t xml:space="preserve">Convection Microwave (Convection mode)</x:t>
        </x:is>
      </x:c>
      <x:c r="B6" s="13" t="inlineStr">
        <x:is>
          <x:t xml:space="preserve">MW_CONV</x:t>
        </x:is>
      </x:c>
      <x:c r="C6" s="13" t="inlineStr">
        <x:is>
          <x:t xml:space="preserve">Convection</x:t>
        </x:is>
      </x:c>
      <x:c r="D6" s="13" t="inlineStr">
        <x:is>
          <x:t xml:space="preserve">Small</x:t>
        </x:is>
      </x:c>
      <x:c r="E6" s="13" t="inlineStr">
        <x:is>
          <x:t xml:space="preserve">Use convection mode for baking/roasting; smaller cavity can cook faster.</x:t>
        </x:is>
      </x:c>
    </x:row>
    <x:row r="7">
      <x:c r="A7" s="13" t="inlineStr">
        <x:is>
          <x:t xml:space="preserve">Air Fryer (Basket)</x:t>
        </x:is>
      </x:c>
      <x:c r="B7" s="13" t="inlineStr">
        <x:is>
          <x:t xml:space="preserve">AF_BASKET</x:t>
        </x:is>
      </x:c>
      <x:c r="C7" s="13" t="inlineStr">
        <x:is>
          <x:t xml:space="preserve">AirFryer</x:t>
        </x:is>
      </x:c>
      <x:c r="D7" s="13" t="inlineStr">
        <x:is>
          <x:t xml:space="preserve">Very small</x:t>
        </x:is>
      </x:c>
      <x:c r="E7" s="13" t="inlineStr">
        <x:is>
          <x:t xml:space="preserve">Intense airflow; best for smaller portions; flip/shake half-way.</x:t>
        </x:is>
      </x:c>
    </x:row>
    <x:row r="8">
      <x:c r="A8" s="13" t="inlineStr">
        <x:is>
          <x:t xml:space="preserve">Air Fryer (Oven-style)</x:t>
        </x:is>
      </x:c>
      <x:c r="B8" s="13" t="inlineStr">
        <x:is>
          <x:t xml:space="preserve">AF_OVEN</x:t>
        </x:is>
      </x:c>
      <x:c r="C8" s="13" t="inlineStr">
        <x:is>
          <x:t xml:space="preserve">AirFryer</x:t>
        </x:is>
      </x:c>
      <x:c r="D8" s="13" t="inlineStr">
        <x:is>
          <x:t xml:space="preserve">Small</x:t>
        </x:is>
      </x:c>
      <x:c r="E8" s="13" t="inlineStr">
        <x:is>
          <x:t xml:space="preserve">More rack space than basket; still cooks faster than oven.</x:t>
        </x:is>
      </x:c>
    </x:row>
  </x:sheetData>
  <x:pageMargins left="0.7" right="0.7" top="0.75" bottom="0.75" header="0.3" footer="0.3"/>
</x:worksheet>
</file>