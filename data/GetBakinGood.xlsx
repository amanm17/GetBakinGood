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Preset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Factors" sheetId="5" state="visible" r:id="rId5"/>
    <sheet xmlns:r="http://schemas.openxmlformats.org/officeDocument/2006/relationships" name="Help" sheetId="6" state="visible" r:id="rId6"/>
    <sheet xmlns:r="http://schemas.openxmlformats.org/officeDocument/2006/relationships" name="Devic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2"/>
    </font>
    <font>
      <b val="1"/>
      <color rgb="000000FF"/>
    </font>
    <font>
      <b val="1"/>
      <color rgb="001F4E79"/>
      <sz val="16"/>
    </font>
    <font>
      <i val="1"/>
      <color rgb="001F4E79"/>
    </font>
    <font>
      <b val="1"/>
      <color rgb="001F4E79"/>
      <sz val="20"/>
    </font>
    <font>
      <i val="1"/>
      <color rgb="0044546A"/>
      <sz val="11"/>
    </font>
    <font>
      <b val="1"/>
      <color rgb="001F4E79"/>
    </font>
    <font>
      <b val="1"/>
      <color rgb="0044546A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2" fontId="3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time by target device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/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'Dashboard'!G13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'Dashboard'!$E$14:$E$18</f>
              <strCache>
                <ptCount val="0"/>
              </strCache>
            </strRef>
          </cat>
          <val>
            <numRef>
              <f>'Dashboard'!$G$14:$G$18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19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4" customWidth="1" min="3" max="3"/>
    <col width="4" customWidth="1" min="4" max="4"/>
    <col width="22" customWidth="1" min="5" max="5"/>
    <col width="34" customWidth="1" min="6" max="6"/>
    <col width="4" customWidth="1" min="7" max="7"/>
    <col width="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>GetBakinGood</t>
        </is>
      </c>
    </row>
    <row r="2" ht="18" customHeight="1">
      <c r="A2" s="2" t="inlineStr">
        <is>
          <t>A simple guide to get baking right, on your very first try.</t>
        </is>
      </c>
    </row>
    <row r="4" ht="22" customHeight="1">
      <c r="A4" s="3" t="inlineStr">
        <is>
          <t>1) Choose your workflow</t>
        </is>
      </c>
      <c r="E4" s="3" t="inlineStr">
        <is>
          <t>2) Your recommendation</t>
        </is>
      </c>
    </row>
    <row r="5">
      <c r="A5" s="4" t="inlineStr">
        <is>
          <t>Workflow</t>
        </is>
      </c>
      <c r="B5" s="5" t="inlineStr">
        <is>
          <t>Use a preset</t>
        </is>
      </c>
      <c r="E5" s="4" t="inlineStr">
        <is>
          <t>Recommended temp (°C)</t>
        </is>
      </c>
      <c r="F5" s="6">
        <f>Calc!$B$42</f>
        <v/>
      </c>
    </row>
    <row r="6">
      <c r="A6" s="4" t="inlineStr">
        <is>
          <t>Dish preset</t>
        </is>
      </c>
      <c r="B6" s="5" t="inlineStr">
        <is>
          <t>Vanilla sponge cake (8-inch)</t>
        </is>
      </c>
      <c r="E6" s="4" t="inlineStr">
        <is>
          <t>Recommended time (min)</t>
        </is>
      </c>
      <c r="F6" s="6">
        <f>Calc!$B$43</f>
        <v/>
      </c>
    </row>
    <row r="7">
      <c r="A7" s="4" t="inlineStr">
        <is>
          <t>Recipe type (if converting)</t>
        </is>
      </c>
      <c r="B7" s="5" t="inlineStr">
        <is>
          <t>BAKE_DELICATE</t>
        </is>
      </c>
      <c r="E7" s="4" t="inlineStr">
        <is>
          <t>Preheat (min)</t>
        </is>
      </c>
      <c r="F7" s="6">
        <f>Calc!$B$44</f>
        <v/>
      </c>
    </row>
    <row r="8">
      <c r="A8" s="4" t="inlineStr">
        <is>
          <t>Original device</t>
        </is>
      </c>
      <c r="B8" s="5" t="inlineStr">
        <is>
          <t>Oven (Conventional)</t>
        </is>
      </c>
      <c r="E8" s="4" t="inlineStr">
        <is>
          <t>Setting / mode</t>
        </is>
      </c>
      <c r="F8" s="7">
        <f>Calc!$B$9</f>
        <v/>
      </c>
    </row>
    <row r="9">
      <c r="A9" s="4" t="inlineStr">
        <is>
          <t>Original temp (°C)</t>
        </is>
      </c>
      <c r="B9" s="8" t="n">
        <v>180</v>
      </c>
      <c r="E9" s="4" t="inlineStr">
        <is>
          <t>Rack</t>
        </is>
      </c>
      <c r="F9" s="7">
        <f>Dashboard!$B$15</f>
        <v/>
      </c>
    </row>
    <row r="10" ht="88" customHeight="1">
      <c r="A10" s="4" t="inlineStr">
        <is>
          <t>Original time (min)</t>
        </is>
      </c>
      <c r="B10" s="8" t="n">
        <v>32</v>
      </c>
      <c r="E10" s="4" t="inlineStr">
        <is>
          <t>Key notes</t>
        </is>
      </c>
      <c r="F10" s="9">
        <f>Calc!$B$45</f>
        <v/>
      </c>
    </row>
    <row r="11">
      <c r="A11" s="4" t="inlineStr">
        <is>
          <t>Target device</t>
        </is>
      </c>
      <c r="B11" s="5" t="inlineStr">
        <is>
          <t>Air Fryer (Basket)</t>
        </is>
      </c>
    </row>
    <row r="12">
      <c r="A12" s="4" t="inlineStr">
        <is>
          <t>Quantity multiplier</t>
        </is>
      </c>
      <c r="B12" s="10" t="n">
        <v>1</v>
      </c>
      <c r="E12" s="11" t="inlineStr">
        <is>
          <t>Quick comparison (same dish/type, different target devices)</t>
        </is>
      </c>
    </row>
    <row r="13" ht="22" customHeight="1">
      <c r="A13" s="4" t="inlineStr">
        <is>
          <t>Thickness multiplier</t>
        </is>
      </c>
      <c r="B13" s="10" t="n">
        <v>1</v>
      </c>
      <c r="E13" s="12" t="inlineStr">
        <is>
          <t>Device</t>
        </is>
      </c>
      <c r="F13" s="12" t="inlineStr">
        <is>
          <t>Temp (°C)</t>
        </is>
      </c>
      <c r="G13" s="12" t="inlineStr">
        <is>
          <t>Time (min)</t>
        </is>
      </c>
    </row>
    <row r="14">
      <c r="A14" s="4" t="inlineStr">
        <is>
          <t>Container/cookware</t>
        </is>
      </c>
      <c r="B14" s="5" t="inlineStr">
        <is>
          <t>Metal (light / shiny)</t>
        </is>
      </c>
      <c r="E14" s="13" t="inlineStr">
        <is>
          <t>Oven (Conventional)</t>
        </is>
      </c>
      <c r="F14" s="14">
        <f>ROUND(Calc!$B$10 + (IFERROR(INDEX(Rules!$D$2:$D$200,MATCH("Oven (Conventional)"&amp;"|"&amp;Calc!$B$9,Rules!$A$2:$A$200,0)),0) - Calc!$B$16) + IF(Calc!$B$24="",0,Calc!$B$24) + IF(Calc!$B$29="",0,Calc!$B$29),0)</f>
        <v/>
      </c>
      <c r="G14" s="14">
        <f>ROUND(Calc!$B$11 * (IFERROR(INDEX(Rules!$E$2:$E$200,MATCH("Oven (Conventional)"&amp;"|"&amp;Calc!$B$9,Rules!$A$2:$A$200,0)),1)/Calc!$B$17) * IF(Calc!$B$25="",1,Calc!$B$25) * IF(Calc!$B$30="",1,Calc!$B$30) * Calc!$B$35 * Calc!$B$36 * Calc!$B$37 * Calc!$B$38,0)</f>
        <v/>
      </c>
    </row>
    <row r="15">
      <c r="A15" s="4" t="inlineStr">
        <is>
          <t>Rack position</t>
        </is>
      </c>
      <c r="B15" s="5" t="inlineStr">
        <is>
          <t>Middle</t>
        </is>
      </c>
      <c r="E15" s="13" t="inlineStr">
        <is>
          <t>OTG (Conventional)</t>
        </is>
      </c>
      <c r="F15" s="14">
        <f>ROUND(Calc!$B$10 + (IFERROR(INDEX(Rules!$D$2:$D$200,MATCH("OTG (Conventional)"&amp;"|"&amp;Calc!$B$9,Rules!$A$2:$A$200,0)),0) - Calc!$B$16) + IF(Calc!$B$24="",0,Calc!$B$24) + IF(Calc!$B$29="",0,Calc!$B$29),0)</f>
        <v/>
      </c>
      <c r="G15" s="14">
        <f>ROUND(Calc!$B$11 * (IFERROR(INDEX(Rules!$E$2:$E$200,MATCH("OTG (Conventional)"&amp;"|"&amp;Calc!$B$9,Rules!$A$2:$A$200,0)),1)/Calc!$B$17) * IF(Calc!$B$25="",1,Calc!$B$25) * IF(Calc!$B$30="",1,Calc!$B$30) * Calc!$B$35 * Calc!$B$36 * Calc!$B$37 * Calc!$B$38,0)</f>
        <v/>
      </c>
    </row>
    <row r="16">
      <c r="A16" s="4" t="inlineStr">
        <is>
          <t>Starting from frozen?</t>
        </is>
      </c>
      <c r="B16" s="5" t="inlineStr">
        <is>
          <t>No</t>
        </is>
      </c>
      <c r="E16" s="13" t="inlineStr">
        <is>
          <t>Oven (Convection/Fan)</t>
        </is>
      </c>
      <c r="F16" s="14">
        <f>ROUND(Calc!$B$10 + (IFERROR(INDEX(Rules!$D$2:$D$200,MATCH("Oven (Convection/Fan)"&amp;"|"&amp;Calc!$B$9,Rules!$A$2:$A$200,0)),0) - Calc!$B$16) + IF(Calc!$B$24="",0,Calc!$B$24) + IF(Calc!$B$29="",0,Calc!$B$29),0)</f>
        <v/>
      </c>
      <c r="G16" s="14">
        <f>ROUND(Calc!$B$11 * (IFERROR(INDEX(Rules!$E$2:$E$200,MATCH("Oven (Convection/Fan)"&amp;"|"&amp;Calc!$B$9,Rules!$A$2:$A$200,0)),1)/Calc!$B$17) * IF(Calc!$B$25="",1,Calc!$B$25) * IF(Calc!$B$30="",1,Calc!$B$30) * Calc!$B$35 * Calc!$B$36 * Calc!$B$37 * Calc!$B$38,0)</f>
        <v/>
      </c>
    </row>
    <row r="17">
      <c r="A17" s="4" t="inlineStr">
        <is>
          <t>Overcrowded tray/basket?</t>
        </is>
      </c>
      <c r="B17" s="5" t="inlineStr">
        <is>
          <t>No</t>
        </is>
      </c>
      <c r="E17" s="13" t="inlineStr">
        <is>
          <t>Convection Microwave (Convection mode)</t>
        </is>
      </c>
      <c r="F17" s="14">
        <f>ROUND(Calc!$B$10 + (IFERROR(INDEX(Rules!$D$2:$D$200,MATCH("Convection Microwave (Convection mode)"&amp;"|"&amp;Calc!$B$9,Rules!$A$2:$A$200,0)),0) - Calc!$B$16) + IF(Calc!$B$24="",0,Calc!$B$24) + IF(Calc!$B$29="",0,Calc!$B$29),0)</f>
        <v/>
      </c>
      <c r="G17" s="14">
        <f>ROUND(Calc!$B$11 * (IFERROR(INDEX(Rules!$E$2:$E$200,MATCH("Convection Microwave (Convection mode)"&amp;"|"&amp;Calc!$B$9,Rules!$A$2:$A$200,0)),1)/Calc!$B$17) * IF(Calc!$B$25="",1,Calc!$B$25) * IF(Calc!$B$30="",1,Calc!$B$30) * Calc!$B$35 * Calc!$B$36 * Calc!$B$37 * Calc!$B$38,0)</f>
        <v/>
      </c>
    </row>
    <row r="18">
      <c r="E18" s="13" t="inlineStr">
        <is>
          <t>Air Fryer (Basket)</t>
        </is>
      </c>
      <c r="F18" s="14">
        <f>ROUND(Calc!$B$10 + (IFERROR(INDEX(Rules!$D$2:$D$200,MATCH("Air Fryer (Basket)"&amp;"|"&amp;Calc!$B$9,Rules!$A$2:$A$200,0)),0) - Calc!$B$16) + IF(Calc!$B$24="",0,Calc!$B$24) + IF(Calc!$B$29="",0,Calc!$B$29),0)</f>
        <v/>
      </c>
      <c r="G18" s="14">
        <f>ROUND(Calc!$B$11 * (IFERROR(INDEX(Rules!$E$2:$E$200,MATCH("Air Fryer (Basket)"&amp;"|"&amp;Calc!$B$9,Rules!$A$2:$A$200,0)),1)/Calc!$B$17) * IF(Calc!$B$25="",1,Calc!$B$25) * IF(Calc!$B$30="",1,Calc!$B$30) * Calc!$B$35 * Calc!$B$36 * Calc!$B$37 * Calc!$B$38,0)</f>
        <v/>
      </c>
    </row>
  </sheetData>
  <mergeCells count="5">
    <mergeCell ref="A4:D4"/>
    <mergeCell ref="E12:H12"/>
    <mergeCell ref="A2:H2"/>
    <mergeCell ref="E4:H4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1" t="inlineStr">
        <is>
          <t>Calc (helper calculations)</t>
        </is>
      </c>
    </row>
    <row r="2">
      <c r="A2" s="23" t="inlineStr">
        <is>
          <t>PresetRow</t>
        </is>
      </c>
      <c r="B2" s="24">
        <f>IFERROR(MATCH(Dashboard!$B$6,Presets!$C$2:$C$200,0), "")</f>
        <v/>
      </c>
    </row>
    <row r="3">
      <c r="A3" s="23" t="inlineStr">
        <is>
          <t>PresetMode</t>
        </is>
      </c>
      <c r="B3" s="24">
        <f>IF($B$2="","",INDEX(Presets!$D$2:$D$200,$B$2))</f>
        <v/>
      </c>
    </row>
    <row r="4">
      <c r="A4" s="23" t="inlineStr">
        <is>
          <t>PresetTemp</t>
        </is>
      </c>
      <c r="B4" s="24">
        <f>IF($B$2="","",INDEX(Presets!$E$2:$E$200,$B$2))</f>
        <v/>
      </c>
    </row>
    <row r="5">
      <c r="A5" s="23" t="inlineStr">
        <is>
          <t>PresetTime</t>
        </is>
      </c>
      <c r="B5" s="24">
        <f>IF($B$2="","",INDEX(Presets!$F$2:$F$200,$B$2))</f>
        <v/>
      </c>
    </row>
    <row r="6">
      <c r="A6" s="23" t="inlineStr">
        <is>
          <t>PresetPreheat</t>
        </is>
      </c>
      <c r="B6" s="24">
        <f>IF($B$2="","",INDEX(Presets!$G$2:$G$200,$B$2))</f>
        <v/>
      </c>
    </row>
    <row r="7">
      <c r="A7" s="23" t="inlineStr">
        <is>
          <t>PresetNotes</t>
        </is>
      </c>
      <c r="B7" s="24">
        <f>IF($B$2="","",INDEX(Presets!$K$2:$K$200,$B$2))</f>
        <v/>
      </c>
    </row>
    <row r="9">
      <c r="A9" s="23" t="inlineStr">
        <is>
          <t>ModeEff</t>
        </is>
      </c>
      <c r="B9" s="24">
        <f>IF(Dashboard!$B$5="Use a preset",$B$3,Dashboard!$B$7)</f>
        <v/>
      </c>
    </row>
    <row r="10">
      <c r="A10" s="23" t="inlineStr">
        <is>
          <t>TempIn</t>
        </is>
      </c>
      <c r="B10" s="24">
        <f>IF(Dashboard!$B$5="Use a preset",$B$4,Dashboard!$B$9)</f>
        <v/>
      </c>
    </row>
    <row r="11">
      <c r="A11" s="23" t="inlineStr">
        <is>
          <t>TimeIn</t>
        </is>
      </c>
      <c r="B11" s="24">
        <f>IF(Dashboard!$B$5="Use a preset",$B$5,Dashboard!$B$10)</f>
        <v/>
      </c>
    </row>
    <row r="12">
      <c r="A12" s="23" t="inlineStr">
        <is>
          <t>OrigDevEff</t>
        </is>
      </c>
      <c r="B12" s="24">
        <f>IF(Dashboard!$B$5="Use a preset","Oven (Conventional)",Dashboard!$B$8)</f>
        <v/>
      </c>
    </row>
    <row r="13">
      <c r="A13" s="23" t="inlineStr">
        <is>
          <t>OrigKey</t>
        </is>
      </c>
      <c r="B13" s="24">
        <f>$B$12&amp;"|"&amp;$B$9</f>
        <v/>
      </c>
    </row>
    <row r="14">
      <c r="A14" s="23" t="inlineStr">
        <is>
          <t>TargetKey</t>
        </is>
      </c>
      <c r="B14" s="24">
        <f>Dashboard!$B$11&amp;"|"&amp;$B$9</f>
        <v/>
      </c>
    </row>
    <row r="16">
      <c r="A16" s="23" t="inlineStr">
        <is>
          <t>OrigTempOff</t>
        </is>
      </c>
      <c r="B16" s="24">
        <f>IFERROR(INDEX(Rules!$D$2:$D$200,MATCH($B$13,Rules!$A$2:$A$200,0)),0)</f>
        <v/>
      </c>
    </row>
    <row r="17">
      <c r="A17" s="23" t="inlineStr">
        <is>
          <t>OrigTimeFac</t>
        </is>
      </c>
      <c r="B17" s="24">
        <f>IFERROR(INDEX(Rules!$E$2:$E$200,MATCH($B$13,Rules!$A$2:$A$200,0)),1)</f>
        <v/>
      </c>
    </row>
    <row r="18">
      <c r="A18" s="23" t="inlineStr">
        <is>
          <t>TarTempOff</t>
        </is>
      </c>
      <c r="B18" s="24">
        <f>IFERROR(INDEX(Rules!$D$2:$D$200,MATCH($B$14,Rules!$A$2:$A$200,0)),0)</f>
        <v/>
      </c>
    </row>
    <row r="19">
      <c r="A19" s="23" t="inlineStr">
        <is>
          <t>TarTimeFac</t>
        </is>
      </c>
      <c r="B19" s="24">
        <f>IFERROR(INDEX(Rules!$E$2:$E$200,MATCH($B$14,Rules!$A$2:$A$200,0)),1)</f>
        <v/>
      </c>
    </row>
    <row r="20">
      <c r="A20" s="23" t="inlineStr">
        <is>
          <t>TarPreheat</t>
        </is>
      </c>
      <c r="B20" s="24">
        <f>IFERROR(INDEX(Rules!$F$2:$F$200,MATCH($B$14,Rules!$A$2:$A$200,0)),"")</f>
        <v/>
      </c>
    </row>
    <row r="21">
      <c r="A21" s="23" t="inlineStr">
        <is>
          <t>RuleNotes</t>
        </is>
      </c>
      <c r="B21" s="24">
        <f>IFERROR(INDEX(Rules!$G$2:$G$200,MATCH($B$14,Rules!$A$2:$A$200,0)),"")</f>
        <v/>
      </c>
    </row>
    <row r="23">
      <c r="A23" s="23" t="inlineStr">
        <is>
          <t>ContRow</t>
        </is>
      </c>
      <c r="B23" s="24">
        <f>IFERROR(MATCH(Dashboard!$B$14,Factors!$A$10:$A$15,0),"")</f>
        <v/>
      </c>
    </row>
    <row r="24">
      <c r="A24" s="23" t="inlineStr">
        <is>
          <t>ContTempOff</t>
        </is>
      </c>
      <c r="B24" s="24">
        <f>IF($B$23="","",INDEX(Factors!$B$10:$B$15,$B$23))</f>
        <v/>
      </c>
    </row>
    <row r="25">
      <c r="A25" s="23" t="inlineStr">
        <is>
          <t>ContTimeFac</t>
        </is>
      </c>
      <c r="B25" s="24">
        <f>IF($B$23="","",INDEX(Factors!$C$10:$C$15,$B$23))</f>
        <v/>
      </c>
    </row>
    <row r="26">
      <c r="A26" s="23" t="inlineStr">
        <is>
          <t>ContNotes</t>
        </is>
      </c>
      <c r="B26" s="24">
        <f>IF($B$23="","",INDEX(Factors!$D$10:$D$15,$B$23))</f>
        <v/>
      </c>
    </row>
    <row r="28">
      <c r="A28" s="23" t="inlineStr">
        <is>
          <t>RackRow</t>
        </is>
      </c>
      <c r="B28" s="24">
        <f>IFERROR(MATCH(Dashboard!$B$15,Factors!$A$20:$A$22,0),"")</f>
        <v/>
      </c>
    </row>
    <row r="29">
      <c r="A29" s="23" t="inlineStr">
        <is>
          <t>RackTempOff</t>
        </is>
      </c>
      <c r="B29" s="24">
        <f>IF($B$28="","",INDEX(Factors!$B$20:$B$22,$B$28))</f>
        <v/>
      </c>
    </row>
    <row r="30">
      <c r="A30" s="23" t="inlineStr">
        <is>
          <t>RackTimeFac</t>
        </is>
      </c>
      <c r="B30" s="24">
        <f>IF($B$28="","",INDEX(Factors!$C$20:$C$22,$B$28))</f>
        <v/>
      </c>
    </row>
    <row r="31">
      <c r="A31" s="23" t="inlineStr">
        <is>
          <t>RackNotes</t>
        </is>
      </c>
      <c r="B31" s="24">
        <f>IF($B$28="","",INDEX(Factors!$D$20:$D$22,$B$28))</f>
        <v/>
      </c>
    </row>
    <row r="33">
      <c r="A33" s="23" t="inlineStr">
        <is>
          <t>QtyExp</t>
        </is>
      </c>
      <c r="B33" s="24">
        <f>Factors!$B$2</f>
        <v/>
      </c>
    </row>
    <row r="34">
      <c r="A34" s="23" t="inlineStr">
        <is>
          <t>ThkExp</t>
        </is>
      </c>
      <c r="B34" s="24">
        <f>Factors!$B$3</f>
        <v/>
      </c>
    </row>
    <row r="35">
      <c r="A35" s="23" t="inlineStr">
        <is>
          <t>QtyFactor</t>
        </is>
      </c>
      <c r="B35" s="24">
        <f>IF(Dashboard!$B$12="","",POWER(Dashboard!$B$12,$B$33))</f>
        <v/>
      </c>
    </row>
    <row r="36">
      <c r="A36" s="23" t="inlineStr">
        <is>
          <t>ThkFactor</t>
        </is>
      </c>
      <c r="B36" s="24">
        <f>IF(Dashboard!$B$13="","",POWER(Dashboard!$B$13,$B$34))</f>
        <v/>
      </c>
    </row>
    <row r="37">
      <c r="A37" s="23" t="inlineStr">
        <is>
          <t>FrozenFactor</t>
        </is>
      </c>
      <c r="B37" s="24">
        <f>IF(Dashboard!$B$16="Yes",Factors!$B$4,1)</f>
        <v/>
      </c>
    </row>
    <row r="38">
      <c r="A38" s="23" t="inlineStr">
        <is>
          <t>OverFactor</t>
        </is>
      </c>
      <c r="B38" s="24">
        <f>IF(Dashboard!$B$17="Yes",Factors!$B$5,1)</f>
        <v/>
      </c>
    </row>
    <row r="40">
      <c r="A40" s="23" t="inlineStr">
        <is>
          <t>BaseTempTarget</t>
        </is>
      </c>
      <c r="B40" s="24">
        <f>ROUND($B$10 + ($B$18-$B$16),0)</f>
        <v/>
      </c>
    </row>
    <row r="41">
      <c r="A41" s="23" t="inlineStr">
        <is>
          <t>BaseTimeTarget</t>
        </is>
      </c>
      <c r="B41" s="24">
        <f>($B$11 * ($B$19/$B$17))</f>
        <v/>
      </c>
    </row>
    <row r="42">
      <c r="A42" s="23" t="inlineStr">
        <is>
          <t>FinalTemp</t>
        </is>
      </c>
      <c r="B42" s="24">
        <f>ROUND($B$40 + IF($B$24="",0,$B$24) + IF($B$29="",0,$B$29),0)</f>
        <v/>
      </c>
    </row>
    <row r="43">
      <c r="A43" s="23" t="inlineStr">
        <is>
          <t>FinalTime</t>
        </is>
      </c>
      <c r="B43" s="24">
        <f>ROUND($B$41 * IF($B$25="",1,$B$25) * IF($B$30="",1,$B$30) * $B$35 * $B$36 * $B$37 * $B$38,0)</f>
        <v/>
      </c>
    </row>
    <row r="44">
      <c r="A44" s="23" t="inlineStr">
        <is>
          <t>FinalPreheat</t>
        </is>
      </c>
      <c r="B44" s="24">
        <f>IF(Dashboard!$B$5="Use a preset",MAX($B$6,$B$20),$B$20)</f>
        <v/>
      </c>
    </row>
    <row r="45">
      <c r="A45" s="23" t="inlineStr">
        <is>
          <t>FinalNotes</t>
        </is>
      </c>
      <c r="B45" s="24">
        <f>TRIM(IF(Dashboard!$B$5="Use a preset",$B$7,"") &amp; CHAR(10) &amp; "• " &amp; $B$21 &amp; CHAR(10) &amp; "• " &amp; $B$26 &amp; CHAR(10) &amp; "• " &amp; $B$31 &amp; CHAR(10) &amp; IF(Dashboard!$B$11="Air Fryer (Basket)","• Shake/flip half-way; keep a single layer.",""))</f>
        <v/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6" customWidth="1" min="4" max="4"/>
    <col width="10" customWidth="1" min="5" max="5"/>
    <col width="10" customWidth="1" min="6" max="6"/>
    <col width="14" customWidth="1" min="7" max="7"/>
    <col width="20" customWidth="1" min="8" max="8"/>
    <col width="12" customWidth="1" min="9" max="9"/>
    <col width="10" customWidth="1" min="10" max="10"/>
    <col width="60" customWidth="1" min="11" max="11"/>
  </cols>
  <sheetData>
    <row r="1" ht="22" customHeight="1">
      <c r="A1" s="12" t="inlineStr">
        <is>
          <t>DishID</t>
        </is>
      </c>
      <c r="B1" s="12" t="inlineStr">
        <is>
          <t>Category</t>
        </is>
      </c>
      <c r="C1" s="12" t="inlineStr">
        <is>
          <t>Dish</t>
        </is>
      </c>
      <c r="D1" s="12" t="inlineStr">
        <is>
          <t>ModeType</t>
        </is>
      </c>
      <c r="E1" s="12" t="inlineStr">
        <is>
          <t>BaseTempC</t>
        </is>
      </c>
      <c r="F1" s="12" t="inlineStr">
        <is>
          <t>BaseTimeMin</t>
        </is>
      </c>
      <c r="G1" s="12" t="inlineStr">
        <is>
          <t>BasePreheatMin</t>
        </is>
      </c>
      <c r="H1" s="12" t="inlineStr">
        <is>
          <t>DefaultContainer</t>
        </is>
      </c>
      <c r="I1" s="12" t="inlineStr">
        <is>
          <t>DefaultRack</t>
        </is>
      </c>
      <c r="J1" s="12" t="inlineStr">
        <is>
          <t>BaseQty</t>
        </is>
      </c>
      <c r="K1" s="12" t="inlineStr">
        <is>
          <t>Notes</t>
        </is>
      </c>
    </row>
    <row r="2">
      <c r="A2" s="13" t="inlineStr">
        <is>
          <t>D001</t>
        </is>
      </c>
      <c r="B2" s="13" t="inlineStr">
        <is>
          <t>Chicken</t>
        </is>
      </c>
      <c r="C2" s="13" t="inlineStr">
        <is>
          <t>Whole chicken roast (~1.2 kg)</t>
        </is>
      </c>
      <c r="D2" s="13" t="inlineStr">
        <is>
          <t>ROAST</t>
        </is>
      </c>
      <c r="E2" s="15" t="n">
        <v>200</v>
      </c>
      <c r="F2" s="15" t="n">
        <v>70</v>
      </c>
      <c r="G2" s="15" t="n">
        <v>12</v>
      </c>
      <c r="H2" s="13" t="inlineStr">
        <is>
          <t>Metal roasting pan</t>
        </is>
      </c>
      <c r="I2" s="13" t="inlineStr">
        <is>
          <t>Middle</t>
        </is>
      </c>
      <c r="J2" s="13" t="inlineStr">
        <is>
          <t>1x</t>
        </is>
      </c>
      <c r="K2" s="13" t="inlineStr">
        <is>
          <t>Cook to safe internal temp; flip/turn once; rest 10 min. Start checking ~10 min early if small.</t>
        </is>
      </c>
    </row>
    <row r="3">
      <c r="A3" s="13" t="inlineStr">
        <is>
          <t>D002</t>
        </is>
      </c>
      <c r="B3" s="13" t="inlineStr">
        <is>
          <t>Chicken</t>
        </is>
      </c>
      <c r="C3" s="13" t="inlineStr">
        <is>
          <t>Chicken thighs / drumsticks (bone-in)</t>
        </is>
      </c>
      <c r="D3" s="13" t="inlineStr">
        <is>
          <t>ROAST</t>
        </is>
      </c>
      <c r="E3" s="15" t="n">
        <v>200</v>
      </c>
      <c r="F3" s="15" t="n">
        <v>32</v>
      </c>
      <c r="G3" s="15" t="n">
        <v>12</v>
      </c>
      <c r="H3" s="13" t="inlineStr">
        <is>
          <t>Metal tray</t>
        </is>
      </c>
      <c r="I3" s="13" t="inlineStr">
        <is>
          <t>Middle</t>
        </is>
      </c>
      <c r="J3" s="13" t="inlineStr">
        <is>
          <t>1x</t>
        </is>
      </c>
      <c r="K3" s="13" t="inlineStr">
        <is>
          <t>Flip/turn halfway; cook to safe internal temp. For smaller pieces, start checking at ~25 min in air fryer.</t>
        </is>
      </c>
    </row>
    <row r="4">
      <c r="A4" s="13" t="inlineStr">
        <is>
          <t>D003</t>
        </is>
      </c>
      <c r="B4" s="13" t="inlineStr">
        <is>
          <t>Chicken</t>
        </is>
      </c>
      <c r="C4" s="13" t="inlineStr">
        <is>
          <t>Chicken breast (boneless)</t>
        </is>
      </c>
      <c r="D4" s="13" t="inlineStr">
        <is>
          <t>ROAST</t>
        </is>
      </c>
      <c r="E4" s="15" t="n">
        <v>200</v>
      </c>
      <c r="F4" s="15" t="n">
        <v>22</v>
      </c>
      <c r="G4" s="15" t="n">
        <v>12</v>
      </c>
      <c r="H4" s="13" t="inlineStr">
        <is>
          <t>Metal tray</t>
        </is>
      </c>
      <c r="I4" s="13" t="inlineStr">
        <is>
          <t>Middle</t>
        </is>
      </c>
      <c r="J4" s="13" t="inlineStr">
        <is>
          <t>1x</t>
        </is>
      </c>
      <c r="K4" s="13" t="inlineStr">
        <is>
          <t>Avoid overcooking; consider brine; rest 5 min.</t>
        </is>
      </c>
    </row>
    <row r="5">
      <c r="A5" s="13" t="inlineStr">
        <is>
          <t>D004</t>
        </is>
      </c>
      <c r="B5" s="13" t="inlineStr">
        <is>
          <t>Chicken</t>
        </is>
      </c>
      <c r="C5" s="13" t="inlineStr">
        <is>
          <t>Tandoori-style chicken pieces</t>
        </is>
      </c>
      <c r="D5" s="13" t="inlineStr">
        <is>
          <t>GRILL_TOP</t>
        </is>
      </c>
      <c r="E5" s="15" t="n">
        <v>220</v>
      </c>
      <c r="F5" s="15" t="n">
        <v>25</v>
      </c>
      <c r="G5" s="15" t="n">
        <v>12</v>
      </c>
      <c r="H5" s="13" t="inlineStr">
        <is>
          <t>Wire rack over tray</t>
        </is>
      </c>
      <c r="I5" s="13" t="inlineStr">
        <is>
          <t>Top</t>
        </is>
      </c>
      <c r="J5" s="13" t="inlineStr">
        <is>
          <t>1x</t>
        </is>
      </c>
      <c r="K5" s="13" t="inlineStr">
        <is>
          <t>Skewers or single layer; flip/turn for even char; baste optional near end.</t>
        </is>
      </c>
    </row>
    <row r="6">
      <c r="A6" s="13" t="inlineStr">
        <is>
          <t>D005</t>
        </is>
      </c>
      <c r="B6" s="13" t="inlineStr">
        <is>
          <t>Chicken</t>
        </is>
      </c>
      <c r="C6" s="13" t="inlineStr">
        <is>
          <t>Chicken wings (crispy)</t>
        </is>
      </c>
      <c r="D6" s="13" t="inlineStr">
        <is>
          <t>ROAST</t>
        </is>
      </c>
      <c r="E6" s="15" t="n">
        <v>230</v>
      </c>
      <c r="F6" s="15" t="n">
        <v>30</v>
      </c>
      <c r="G6" s="15" t="n">
        <v>12</v>
      </c>
      <c r="H6" s="13" t="inlineStr">
        <is>
          <t>Wire rack over tray</t>
        </is>
      </c>
      <c r="I6" s="13" t="inlineStr">
        <is>
          <t>Top</t>
        </is>
      </c>
      <c r="J6" s="13" t="inlineStr">
        <is>
          <t>1x</t>
        </is>
      </c>
      <c r="K6" s="13" t="inlineStr">
        <is>
          <t>Single layer for crisp; flip/shake halfway.</t>
        </is>
      </c>
    </row>
    <row r="7">
      <c r="A7" s="13" t="inlineStr">
        <is>
          <t>D006</t>
        </is>
      </c>
      <c r="B7" s="13" t="inlineStr">
        <is>
          <t>Chicken</t>
        </is>
      </c>
      <c r="C7" s="13" t="inlineStr">
        <is>
          <t>Chicken nuggets (frozen)</t>
        </is>
      </c>
      <c r="D7" s="13" t="inlineStr">
        <is>
          <t>REHEAT_CRISP</t>
        </is>
      </c>
      <c r="E7" s="15" t="n">
        <v>220</v>
      </c>
      <c r="F7" s="15" t="n">
        <v>14</v>
      </c>
      <c r="G7" s="15" t="n">
        <v>8</v>
      </c>
      <c r="H7" s="13" t="inlineStr">
        <is>
          <t>Tray/basket</t>
        </is>
      </c>
      <c r="I7" s="13" t="inlineStr">
        <is>
          <t>Middle</t>
        </is>
      </c>
      <c r="J7" s="13" t="inlineStr">
        <is>
          <t>1x</t>
        </is>
      </c>
      <c r="K7" s="13" t="inlineStr">
        <is>
          <t>Shake/flip half-way; add 2–3 min if extra crisp.</t>
        </is>
      </c>
    </row>
    <row r="8">
      <c r="A8" s="13" t="inlineStr">
        <is>
          <t>D007</t>
        </is>
      </c>
      <c r="B8" s="13" t="inlineStr">
        <is>
          <t>Fish</t>
        </is>
      </c>
      <c r="C8" s="13" t="inlineStr">
        <is>
          <t>White fish fillets (2 cm)</t>
        </is>
      </c>
      <c r="D8" s="13" t="inlineStr">
        <is>
          <t>ROAST</t>
        </is>
      </c>
      <c r="E8" s="15" t="n">
        <v>200</v>
      </c>
      <c r="F8" s="15" t="n">
        <v>14</v>
      </c>
      <c r="G8" s="15" t="n">
        <v>10</v>
      </c>
      <c r="H8" s="13" t="inlineStr">
        <is>
          <t>Metal tray</t>
        </is>
      </c>
      <c r="I8" s="13" t="inlineStr">
        <is>
          <t>Middle</t>
        </is>
      </c>
      <c r="J8" s="13" t="inlineStr">
        <is>
          <t>1x</t>
        </is>
      </c>
      <c r="K8" s="13" t="inlineStr">
        <is>
          <t>Brush oil; don’t overcook; use foil if drying.</t>
        </is>
      </c>
    </row>
    <row r="9">
      <c r="A9" s="13" t="inlineStr">
        <is>
          <t>D008</t>
        </is>
      </c>
      <c r="B9" s="13" t="inlineStr">
        <is>
          <t>Fish</t>
        </is>
      </c>
      <c r="C9" s="13" t="inlineStr">
        <is>
          <t>Salmon fillet (2–3 cm)</t>
        </is>
      </c>
      <c r="D9" s="13" t="inlineStr">
        <is>
          <t>ROAST</t>
        </is>
      </c>
      <c r="E9" s="15" t="n">
        <v>200</v>
      </c>
      <c r="F9" s="15" t="n">
        <v>16</v>
      </c>
      <c r="G9" s="15" t="n">
        <v>10</v>
      </c>
      <c r="H9" s="13" t="inlineStr">
        <is>
          <t>Metal tray</t>
        </is>
      </c>
      <c r="I9" s="13" t="inlineStr">
        <is>
          <t>Middle</t>
        </is>
      </c>
      <c r="J9" s="13" t="inlineStr">
        <is>
          <t>1x</t>
        </is>
      </c>
      <c r="K9" s="13" t="inlineStr">
        <is>
          <t>Best slightly underdone; rest 3 min.</t>
        </is>
      </c>
    </row>
    <row r="10">
      <c r="A10" s="13" t="inlineStr">
        <is>
          <t>D009</t>
        </is>
      </c>
      <c r="B10" s="13" t="inlineStr">
        <is>
          <t>Fish</t>
        </is>
      </c>
      <c r="C10" s="13" t="inlineStr">
        <is>
          <t>Fish tikka / kebabs</t>
        </is>
      </c>
      <c r="D10" s="13" t="inlineStr">
        <is>
          <t>GRILL_TOP</t>
        </is>
      </c>
      <c r="E10" s="15" t="n">
        <v>220</v>
      </c>
      <c r="F10" s="15" t="n">
        <v>14</v>
      </c>
      <c r="G10" s="15" t="n">
        <v>10</v>
      </c>
      <c r="H10" s="13" t="inlineStr">
        <is>
          <t>Skewers on rack</t>
        </is>
      </c>
      <c r="I10" s="13" t="inlineStr">
        <is>
          <t>Top</t>
        </is>
      </c>
      <c r="J10" s="13" t="inlineStr">
        <is>
          <t>1x</t>
        </is>
      </c>
      <c r="K10" s="13" t="inlineStr">
        <is>
          <t>Flip once; watch browning; finish with top heat.</t>
        </is>
      </c>
    </row>
    <row r="11">
      <c r="A11" s="13" t="inlineStr">
        <is>
          <t>D010</t>
        </is>
      </c>
      <c r="B11" s="13" t="inlineStr">
        <is>
          <t>Seafood</t>
        </is>
      </c>
      <c r="C11" s="13" t="inlineStr">
        <is>
          <t>Prawns/shrimp (marinated)</t>
        </is>
      </c>
      <c r="D11" s="13" t="inlineStr">
        <is>
          <t>GRILL_TOP</t>
        </is>
      </c>
      <c r="E11" s="15" t="n">
        <v>220</v>
      </c>
      <c r="F11" s="15" t="n">
        <v>8</v>
      </c>
      <c r="G11" s="15" t="n">
        <v>8</v>
      </c>
      <c r="H11" s="13" t="inlineStr">
        <is>
          <t>Skewers/tray</t>
        </is>
      </c>
      <c r="I11" s="13" t="inlineStr">
        <is>
          <t>Top</t>
        </is>
      </c>
      <c r="J11" s="13" t="inlineStr">
        <is>
          <t>1x</t>
        </is>
      </c>
      <c r="K11" s="13" t="inlineStr">
        <is>
          <t>Cook fast; flip once.</t>
        </is>
      </c>
    </row>
    <row r="12">
      <c r="A12" s="13" t="inlineStr">
        <is>
          <t>D011</t>
        </is>
      </c>
      <c r="B12" s="13" t="inlineStr">
        <is>
          <t>Vegetables</t>
        </is>
      </c>
      <c r="C12" s="13" t="inlineStr">
        <is>
          <t>Roasted mixed veggies (bite-size)</t>
        </is>
      </c>
      <c r="D12" s="13" t="inlineStr">
        <is>
          <t>ROAST</t>
        </is>
      </c>
      <c r="E12" s="15" t="n">
        <v>220</v>
      </c>
      <c r="F12" s="15" t="n">
        <v>22</v>
      </c>
      <c r="G12" s="15" t="n">
        <v>12</v>
      </c>
      <c r="H12" s="13" t="inlineStr">
        <is>
          <t>Metal tray</t>
        </is>
      </c>
      <c r="I12" s="13" t="inlineStr">
        <is>
          <t>Top</t>
        </is>
      </c>
      <c r="J12" s="13" t="inlineStr">
        <is>
          <t>1x</t>
        </is>
      </c>
      <c r="K12" s="13" t="inlineStr">
        <is>
          <t>Don’t overcrowd; toss once; add 5 min for more caramelization.</t>
        </is>
      </c>
    </row>
    <row r="13">
      <c r="A13" s="13" t="inlineStr">
        <is>
          <t>D012</t>
        </is>
      </c>
      <c r="B13" s="13" t="inlineStr">
        <is>
          <t>Vegetables</t>
        </is>
      </c>
      <c r="C13" s="13" t="inlineStr">
        <is>
          <t>Cauliflower florets (gobi roast)</t>
        </is>
      </c>
      <c r="D13" s="13" t="inlineStr">
        <is>
          <t>ROAST</t>
        </is>
      </c>
      <c r="E13" s="15" t="n">
        <v>230</v>
      </c>
      <c r="F13" s="15" t="n">
        <v>25</v>
      </c>
      <c r="G13" s="15" t="n">
        <v>12</v>
      </c>
      <c r="H13" s="13" t="inlineStr">
        <is>
          <t>Metal tray</t>
        </is>
      </c>
      <c r="I13" s="13" t="inlineStr">
        <is>
          <t>Top</t>
        </is>
      </c>
      <c r="J13" s="13" t="inlineStr">
        <is>
          <t>1x</t>
        </is>
      </c>
      <c r="K13" s="13" t="inlineStr">
        <is>
          <t>Toss once; finish with top heat if desired.</t>
        </is>
      </c>
    </row>
    <row r="14">
      <c r="A14" s="13" t="inlineStr">
        <is>
          <t>D013</t>
        </is>
      </c>
      <c r="B14" s="13" t="inlineStr">
        <is>
          <t>Vegetables</t>
        </is>
      </c>
      <c r="C14" s="13" t="inlineStr">
        <is>
          <t>Potato wedges</t>
        </is>
      </c>
      <c r="D14" s="13" t="inlineStr">
        <is>
          <t>ROAST</t>
        </is>
      </c>
      <c r="E14" s="15" t="n">
        <v>230</v>
      </c>
      <c r="F14" s="15" t="n">
        <v>40</v>
      </c>
      <c r="G14" s="15" t="n">
        <v>12</v>
      </c>
      <c r="H14" s="13" t="inlineStr">
        <is>
          <t>Metal tray</t>
        </is>
      </c>
      <c r="I14" s="13" t="inlineStr">
        <is>
          <t>Top</t>
        </is>
      </c>
      <c r="J14" s="13" t="inlineStr">
        <is>
          <t>1x</t>
        </is>
      </c>
      <c r="K14" s="13" t="inlineStr">
        <is>
          <t>Parboil for faster; flip twice for even browning.</t>
        </is>
      </c>
    </row>
    <row r="15">
      <c r="A15" s="13" t="inlineStr">
        <is>
          <t>D014</t>
        </is>
      </c>
      <c r="B15" s="13" t="inlineStr">
        <is>
          <t>Vegetables</t>
        </is>
      </c>
      <c r="C15" s="13" t="inlineStr">
        <is>
          <t>Stuffed bell peppers</t>
        </is>
      </c>
      <c r="D15" s="13" t="inlineStr">
        <is>
          <t>ROAST</t>
        </is>
      </c>
      <c r="E15" s="15" t="n">
        <v>200</v>
      </c>
      <c r="F15" s="15" t="n">
        <v>30</v>
      </c>
      <c r="G15" s="15" t="n">
        <v>12</v>
      </c>
      <c r="H15" s="13" t="inlineStr">
        <is>
          <t>Baking dish</t>
        </is>
      </c>
      <c r="I15" s="13" t="inlineStr">
        <is>
          <t>Middle</t>
        </is>
      </c>
      <c r="J15" s="13" t="inlineStr">
        <is>
          <t>1x</t>
        </is>
      </c>
      <c r="K15" s="13" t="inlineStr">
        <is>
          <t>Cover for first 20 min; uncover to brown.</t>
        </is>
      </c>
    </row>
    <row r="16">
      <c r="A16" s="13" t="inlineStr">
        <is>
          <t>D015</t>
        </is>
      </c>
      <c r="B16" s="13" t="inlineStr">
        <is>
          <t>Vegetables</t>
        </is>
      </c>
      <c r="C16" s="13" t="inlineStr">
        <is>
          <t>Baked sweet potato (whole)</t>
        </is>
      </c>
      <c r="D16" s="13" t="inlineStr">
        <is>
          <t>ROAST</t>
        </is>
      </c>
      <c r="E16" s="15" t="n">
        <v>200</v>
      </c>
      <c r="F16" s="15" t="n">
        <v>55</v>
      </c>
      <c r="G16" s="15" t="n">
        <v>12</v>
      </c>
      <c r="H16" s="13" t="inlineStr">
        <is>
          <t>Direct on rack/tray</t>
        </is>
      </c>
      <c r="I16" s="13" t="inlineStr">
        <is>
          <t>Middle</t>
        </is>
      </c>
      <c r="J16" s="13" t="inlineStr">
        <is>
          <t>1x</t>
        </is>
      </c>
      <c r="K16" s="13" t="inlineStr">
        <is>
          <t>Pierce; time varies by size.</t>
        </is>
      </c>
    </row>
    <row r="17">
      <c r="A17" s="13" t="inlineStr">
        <is>
          <t>D016</t>
        </is>
      </c>
      <c r="B17" s="13" t="inlineStr">
        <is>
          <t>Vegetables</t>
        </is>
      </c>
      <c r="C17" s="13" t="inlineStr">
        <is>
          <t>Paneer tikka</t>
        </is>
      </c>
      <c r="D17" s="13" t="inlineStr">
        <is>
          <t>GRILL_TOP</t>
        </is>
      </c>
      <c r="E17" s="15" t="n">
        <v>220</v>
      </c>
      <c r="F17" s="15" t="n">
        <v>16</v>
      </c>
      <c r="G17" s="15" t="n">
        <v>10</v>
      </c>
      <c r="H17" s="13" t="inlineStr">
        <is>
          <t>Rack/tray</t>
        </is>
      </c>
      <c r="I17" s="13" t="inlineStr">
        <is>
          <t>Top</t>
        </is>
      </c>
      <c r="J17" s="13" t="inlineStr">
        <is>
          <t>1x</t>
        </is>
      </c>
      <c r="K17" s="13" t="inlineStr">
        <is>
          <t>Flip once; brush fat; char briefly at end.</t>
        </is>
      </c>
    </row>
    <row r="18">
      <c r="A18" s="13" t="inlineStr">
        <is>
          <t>D017</t>
        </is>
      </c>
      <c r="B18" s="13" t="inlineStr">
        <is>
          <t>Baking</t>
        </is>
      </c>
      <c r="C18" s="13" t="inlineStr">
        <is>
          <t>Vanilla sponge cake (8-inch)</t>
        </is>
      </c>
      <c r="D18" s="13" t="inlineStr">
        <is>
          <t>BAKE_DELICATE</t>
        </is>
      </c>
      <c r="E18" s="15" t="n">
        <v>180</v>
      </c>
      <c r="F18" s="15" t="n">
        <v>32</v>
      </c>
      <c r="G18" s="15" t="n">
        <v>15</v>
      </c>
      <c r="H18" s="13" t="inlineStr">
        <is>
          <t>Cake tin</t>
        </is>
      </c>
      <c r="I18" s="13" t="inlineStr">
        <is>
          <t>Middle</t>
        </is>
      </c>
      <c r="J18" s="13" t="inlineStr">
        <is>
          <t>1x</t>
        </is>
      </c>
      <c r="K18" s="13" t="inlineStr">
        <is>
          <t>Do not open early; toothpick test; cool before unmoulding.</t>
        </is>
      </c>
    </row>
    <row r="19">
      <c r="A19" s="13" t="inlineStr">
        <is>
          <t>D018</t>
        </is>
      </c>
      <c r="B19" s="13" t="inlineStr">
        <is>
          <t>Baking</t>
        </is>
      </c>
      <c r="C19" s="13" t="inlineStr">
        <is>
          <t>Chocolate cake (8-inch)</t>
        </is>
      </c>
      <c r="D19" s="13" t="inlineStr">
        <is>
          <t>BAKE_DELICATE</t>
        </is>
      </c>
      <c r="E19" s="15" t="n">
        <v>175</v>
      </c>
      <c r="F19" s="15" t="n">
        <v>38</v>
      </c>
      <c r="G19" s="15" t="n">
        <v>15</v>
      </c>
      <c r="H19" s="13" t="inlineStr">
        <is>
          <t>Cake tin</t>
        </is>
      </c>
      <c r="I19" s="13" t="inlineStr">
        <is>
          <t>Middle</t>
        </is>
      </c>
      <c r="J19" s="13" t="inlineStr">
        <is>
          <t>1x</t>
        </is>
      </c>
      <c r="K19" s="13" t="inlineStr">
        <is>
          <t>Cover top with foil if browning too fast.</t>
        </is>
      </c>
    </row>
    <row r="20">
      <c r="A20" s="13" t="inlineStr">
        <is>
          <t>D019</t>
        </is>
      </c>
      <c r="B20" s="13" t="inlineStr">
        <is>
          <t>Baking</t>
        </is>
      </c>
      <c r="C20" s="13" t="inlineStr">
        <is>
          <t>Banana bread / loaf (9x5)</t>
        </is>
      </c>
      <c r="D20" s="13" t="inlineStr">
        <is>
          <t>BAKE_STANDARD</t>
        </is>
      </c>
      <c r="E20" s="15" t="n">
        <v>175</v>
      </c>
      <c r="F20" s="15" t="n">
        <v>55</v>
      </c>
      <c r="G20" s="15" t="n">
        <v>15</v>
      </c>
      <c r="H20" s="13" t="inlineStr">
        <is>
          <t>Loaf pan</t>
        </is>
      </c>
      <c r="I20" s="13" t="inlineStr">
        <is>
          <t>Middle</t>
        </is>
      </c>
      <c r="J20" s="13" t="inlineStr">
        <is>
          <t>1x</t>
        </is>
      </c>
      <c r="K20" s="13" t="inlineStr">
        <is>
          <t>Check at 45 min; tent with foil if needed.</t>
        </is>
      </c>
    </row>
    <row r="21">
      <c r="A21" s="13" t="inlineStr">
        <is>
          <t>D020</t>
        </is>
      </c>
      <c r="B21" s="13" t="inlineStr">
        <is>
          <t>Baking</t>
        </is>
      </c>
      <c r="C21" s="13" t="inlineStr">
        <is>
          <t>Muffins (12)</t>
        </is>
      </c>
      <c r="D21" s="13" t="inlineStr">
        <is>
          <t>BAKE_STANDARD</t>
        </is>
      </c>
      <c r="E21" s="15" t="n">
        <v>180</v>
      </c>
      <c r="F21" s="15" t="n">
        <v>18</v>
      </c>
      <c r="G21" s="15" t="n">
        <v>12</v>
      </c>
      <c r="H21" s="13" t="inlineStr">
        <is>
          <t>Muffin tray</t>
        </is>
      </c>
      <c r="I21" s="13" t="inlineStr">
        <is>
          <t>Middle</t>
        </is>
      </c>
      <c r="J21" s="13" t="inlineStr">
        <is>
          <t>1x</t>
        </is>
      </c>
      <c r="K21" s="13" t="inlineStr">
        <is>
          <t>Don’t overmix; rotate once if uneven.</t>
        </is>
      </c>
    </row>
    <row r="22">
      <c r="A22" s="13" t="inlineStr">
        <is>
          <t>D021</t>
        </is>
      </c>
      <c r="B22" s="13" t="inlineStr">
        <is>
          <t>Baking</t>
        </is>
      </c>
      <c r="C22" s="13" t="inlineStr">
        <is>
          <t>Cupcakes (12)</t>
        </is>
      </c>
      <c r="D22" s="13" t="inlineStr">
        <is>
          <t>BAKE_DELICATE</t>
        </is>
      </c>
      <c r="E22" s="15" t="n">
        <v>175</v>
      </c>
      <c r="F22" s="15" t="n">
        <v>16</v>
      </c>
      <c r="G22" s="15" t="n">
        <v>12</v>
      </c>
      <c r="H22" s="13" t="inlineStr">
        <is>
          <t>Cupcake tray</t>
        </is>
      </c>
      <c r="I22" s="13" t="inlineStr">
        <is>
          <t>Middle</t>
        </is>
      </c>
      <c r="J22" s="13" t="inlineStr">
        <is>
          <t>1x</t>
        </is>
      </c>
      <c r="K22" s="13" t="inlineStr">
        <is>
          <t>Check at 14 min; cool before frosting.</t>
        </is>
      </c>
    </row>
    <row r="23">
      <c r="A23" s="13" t="inlineStr">
        <is>
          <t>D022</t>
        </is>
      </c>
      <c r="B23" s="13" t="inlineStr">
        <is>
          <t>Baking</t>
        </is>
      </c>
      <c r="C23" s="13" t="inlineStr">
        <is>
          <t>Brownies (8-inch pan)</t>
        </is>
      </c>
      <c r="D23" s="13" t="inlineStr">
        <is>
          <t>BAKE_STANDARD</t>
        </is>
      </c>
      <c r="E23" s="15" t="n">
        <v>180</v>
      </c>
      <c r="F23" s="15" t="n">
        <v>25</v>
      </c>
      <c r="G23" s="15" t="n">
        <v>12</v>
      </c>
      <c r="H23" s="13" t="inlineStr">
        <is>
          <t>Square pan</t>
        </is>
      </c>
      <c r="I23" s="13" t="inlineStr">
        <is>
          <t>Middle</t>
        </is>
      </c>
      <c r="J23" s="13" t="inlineStr">
        <is>
          <t>1x</t>
        </is>
      </c>
      <c r="K23" s="13" t="inlineStr">
        <is>
          <t>For fudgy: slight underbake; cool fully before slicing.</t>
        </is>
      </c>
    </row>
    <row r="24">
      <c r="A24" s="13" t="inlineStr">
        <is>
          <t>D023</t>
        </is>
      </c>
      <c r="B24" s="13" t="inlineStr">
        <is>
          <t>Baking</t>
        </is>
      </c>
      <c r="C24" s="13" t="inlineStr">
        <is>
          <t>Chocolate chip cookies</t>
        </is>
      </c>
      <c r="D24" s="13" t="inlineStr">
        <is>
          <t>BAKE_STANDARD</t>
        </is>
      </c>
      <c r="E24" s="15" t="n">
        <v>175</v>
      </c>
      <c r="F24" s="15" t="n">
        <v>12</v>
      </c>
      <c r="G24" s="15" t="n">
        <v>12</v>
      </c>
      <c r="H24" s="13" t="inlineStr">
        <is>
          <t>Flat tray</t>
        </is>
      </c>
      <c r="I24" s="13" t="inlineStr">
        <is>
          <t>Middle</t>
        </is>
      </c>
      <c r="J24" s="13" t="inlineStr">
        <is>
          <t>1x</t>
        </is>
      </c>
      <c r="K24" s="13" t="inlineStr">
        <is>
          <t>Bake one tray at a time for consistency.</t>
        </is>
      </c>
    </row>
    <row r="25">
      <c r="A25" s="13" t="inlineStr">
        <is>
          <t>D024</t>
        </is>
      </c>
      <c r="B25" s="13" t="inlineStr">
        <is>
          <t>Baking</t>
        </is>
      </c>
      <c r="C25" s="13" t="inlineStr">
        <is>
          <t>Pizza base / flatbread</t>
        </is>
      </c>
      <c r="D25" s="13" t="inlineStr">
        <is>
          <t>BAKE_STANDARD</t>
        </is>
      </c>
      <c r="E25" s="15" t="n">
        <v>240</v>
      </c>
      <c r="F25" s="15" t="n">
        <v>10</v>
      </c>
      <c r="G25" s="15" t="n">
        <v>15</v>
      </c>
      <c r="H25" s="13" t="inlineStr">
        <is>
          <t>Pizza stone/tray</t>
        </is>
      </c>
      <c r="I25" s="13" t="inlineStr">
        <is>
          <t>Bottom</t>
        </is>
      </c>
      <c r="J25" s="13" t="inlineStr">
        <is>
          <t>1x</t>
        </is>
      </c>
      <c r="K25" s="13" t="inlineStr">
        <is>
          <t>Preheat well; use bottom rack for crisp base.</t>
        </is>
      </c>
    </row>
    <row r="26">
      <c r="A26" s="13" t="inlineStr">
        <is>
          <t>D025</t>
        </is>
      </c>
      <c r="B26" s="13" t="inlineStr">
        <is>
          <t>Baking</t>
        </is>
      </c>
      <c r="C26" s="13" t="inlineStr">
        <is>
          <t>Garlic bread / toast</t>
        </is>
      </c>
      <c r="D26" s="13" t="inlineStr">
        <is>
          <t>GRILL_TOP</t>
        </is>
      </c>
      <c r="E26" s="15" t="n">
        <v>220</v>
      </c>
      <c r="F26" s="15" t="n">
        <v>8</v>
      </c>
      <c r="G26" s="15" t="n">
        <v>8</v>
      </c>
      <c r="H26" s="13" t="inlineStr">
        <is>
          <t>Tray</t>
        </is>
      </c>
      <c r="I26" s="13" t="inlineStr">
        <is>
          <t>Top</t>
        </is>
      </c>
      <c r="J26" s="13" t="inlineStr">
        <is>
          <t>1x</t>
        </is>
      </c>
      <c r="K26" s="13" t="inlineStr">
        <is>
          <t>Watch closely; flip for even toast.</t>
        </is>
      </c>
    </row>
    <row r="27">
      <c r="A27" s="13" t="inlineStr">
        <is>
          <t>D026</t>
        </is>
      </c>
      <c r="B27" s="13" t="inlineStr">
        <is>
          <t>Baking</t>
        </is>
      </c>
      <c r="C27" s="13" t="inlineStr">
        <is>
          <t>Cheesecake (8-inch, water bath)</t>
        </is>
      </c>
      <c r="D27" s="13" t="inlineStr">
        <is>
          <t>BAKE_DELICATE</t>
        </is>
      </c>
      <c r="E27" s="15" t="n">
        <v>160</v>
      </c>
      <c r="F27" s="15" t="n">
        <v>65</v>
      </c>
      <c r="G27" s="15" t="n">
        <v>15</v>
      </c>
      <c r="H27" s="13" t="inlineStr">
        <is>
          <t>Springform</t>
        </is>
      </c>
      <c r="I27" s="13" t="inlineStr">
        <is>
          <t>Middle</t>
        </is>
      </c>
      <c r="J27" s="13" t="inlineStr">
        <is>
          <t>1x</t>
        </is>
      </c>
      <c r="K27" s="13" t="inlineStr">
        <is>
          <t>Low &amp; slow; cool in turned-off oven with door ajar.</t>
        </is>
      </c>
    </row>
    <row r="28">
      <c r="A28" s="13" t="inlineStr">
        <is>
          <t>D027</t>
        </is>
      </c>
      <c r="B28" s="13" t="inlineStr">
        <is>
          <t>Snacks</t>
        </is>
      </c>
      <c r="C28" s="13" t="inlineStr">
        <is>
          <t>Samosas (baked)</t>
        </is>
      </c>
      <c r="D28" s="13" t="inlineStr">
        <is>
          <t>ROAST</t>
        </is>
      </c>
      <c r="E28" s="15" t="n">
        <v>200</v>
      </c>
      <c r="F28" s="15" t="n">
        <v>28</v>
      </c>
      <c r="G28" s="15" t="n">
        <v>12</v>
      </c>
      <c r="H28" s="13" t="inlineStr">
        <is>
          <t>Metal tray</t>
        </is>
      </c>
      <c r="I28" s="13" t="inlineStr">
        <is>
          <t>Middle</t>
        </is>
      </c>
      <c r="J28" s="13" t="inlineStr">
        <is>
          <t>1x</t>
        </is>
      </c>
      <c r="K28" s="13" t="inlineStr">
        <is>
          <t>Brush oil; flip once; bake until golden.</t>
        </is>
      </c>
    </row>
    <row r="29">
      <c r="A29" s="13" t="inlineStr">
        <is>
          <t>D028</t>
        </is>
      </c>
      <c r="B29" s="13" t="inlineStr">
        <is>
          <t>Snacks</t>
        </is>
      </c>
      <c r="C29" s="13" t="inlineStr">
        <is>
          <t>Spring rolls (baked)</t>
        </is>
      </c>
      <c r="D29" s="13" t="inlineStr">
        <is>
          <t>REHEAT_CRISP</t>
        </is>
      </c>
      <c r="E29" s="15" t="n">
        <v>220</v>
      </c>
      <c r="F29" s="15" t="n">
        <v>18</v>
      </c>
      <c r="G29" s="15" t="n">
        <v>10</v>
      </c>
      <c r="H29" s="13" t="inlineStr">
        <is>
          <t>Metal tray</t>
        </is>
      </c>
      <c r="I29" s="13" t="inlineStr">
        <is>
          <t>Top</t>
        </is>
      </c>
      <c r="J29" s="13" t="inlineStr">
        <is>
          <t>1x</t>
        </is>
      </c>
      <c r="K29" s="13" t="inlineStr">
        <is>
          <t>Brush oil; flip once.</t>
        </is>
      </c>
    </row>
    <row r="30">
      <c r="A30" s="13" t="inlineStr">
        <is>
          <t>D029</t>
        </is>
      </c>
      <c r="B30" s="13" t="inlineStr">
        <is>
          <t>Snacks</t>
        </is>
      </c>
      <c r="C30" s="13" t="inlineStr">
        <is>
          <t>French fries (frozen)</t>
        </is>
      </c>
      <c r="D30" s="13" t="inlineStr">
        <is>
          <t>REHEAT_CRISP</t>
        </is>
      </c>
      <c r="E30" s="15" t="n">
        <v>220</v>
      </c>
      <c r="F30" s="15" t="n">
        <v>22</v>
      </c>
      <c r="G30" s="15" t="n">
        <v>10</v>
      </c>
      <c r="H30" s="13" t="inlineStr">
        <is>
          <t>Tray/basket</t>
        </is>
      </c>
      <c r="I30" s="13" t="inlineStr">
        <is>
          <t>Top</t>
        </is>
      </c>
      <c r="J30" s="13" t="inlineStr">
        <is>
          <t>1x</t>
        </is>
      </c>
      <c r="K30" s="13" t="inlineStr">
        <is>
          <t>Shake/turn twice; cook in single layer.</t>
        </is>
      </c>
    </row>
    <row r="31">
      <c r="A31" s="13" t="inlineStr">
        <is>
          <t>D030</t>
        </is>
      </c>
      <c r="B31" s="13" t="inlineStr">
        <is>
          <t>Snacks</t>
        </is>
      </c>
      <c r="C31" s="13" t="inlineStr">
        <is>
          <t>Paneer / veg cutlets (pre-formed)</t>
        </is>
      </c>
      <c r="D31" s="13" t="inlineStr">
        <is>
          <t>REHEAT_CRISP</t>
        </is>
      </c>
      <c r="E31" s="15" t="n">
        <v>220</v>
      </c>
      <c r="F31" s="15" t="n">
        <v>18</v>
      </c>
      <c r="G31" s="15" t="n">
        <v>10</v>
      </c>
      <c r="H31" s="13" t="inlineStr">
        <is>
          <t>Tray/basket</t>
        </is>
      </c>
      <c r="I31" s="13" t="inlineStr">
        <is>
          <t>Top</t>
        </is>
      </c>
      <c r="J31" s="13" t="inlineStr">
        <is>
          <t>1x</t>
        </is>
      </c>
      <c r="K31" s="13" t="inlineStr">
        <is>
          <t>Flip once; brush oil for browning.</t>
        </is>
      </c>
    </row>
    <row r="32">
      <c r="A32" s="13" t="inlineStr">
        <is>
          <t>D031</t>
        </is>
      </c>
      <c r="B32" s="13" t="inlineStr">
        <is>
          <t>Snacks</t>
        </is>
      </c>
      <c r="C32" s="13" t="inlineStr">
        <is>
          <t>Roasted nuts (almonds/cashews)</t>
        </is>
      </c>
      <c r="D32" s="13" t="inlineStr">
        <is>
          <t>ROAST</t>
        </is>
      </c>
      <c r="E32" s="15" t="n">
        <v>160</v>
      </c>
      <c r="F32" s="15" t="n">
        <v>12</v>
      </c>
      <c r="G32" s="15" t="n">
        <v>10</v>
      </c>
      <c r="H32" s="13" t="inlineStr">
        <is>
          <t>Tray</t>
        </is>
      </c>
      <c r="I32" s="13" t="inlineStr">
        <is>
          <t>Middle</t>
        </is>
      </c>
      <c r="J32" s="13" t="inlineStr">
        <is>
          <t>1x</t>
        </is>
      </c>
      <c r="K32" s="13" t="inlineStr">
        <is>
          <t>Stir every 4 min; nuts burn quickly.</t>
        </is>
      </c>
    </row>
    <row r="33">
      <c r="A33" s="13" t="inlineStr">
        <is>
          <t>D032</t>
        </is>
      </c>
      <c r="B33" s="13" t="inlineStr">
        <is>
          <t>Pasta</t>
        </is>
      </c>
      <c r="C33" s="13" t="inlineStr">
        <is>
          <t>Lasagna (9x13, chilled)</t>
        </is>
      </c>
      <c r="D33" s="13" t="inlineStr">
        <is>
          <t>ROAST</t>
        </is>
      </c>
      <c r="E33" s="15" t="n">
        <v>190</v>
      </c>
      <c r="F33" s="15" t="n">
        <v>45</v>
      </c>
      <c r="G33" s="15" t="n">
        <v>15</v>
      </c>
      <c r="H33" s="13" t="inlineStr">
        <is>
          <t>Baking dish</t>
        </is>
      </c>
      <c r="I33" s="13" t="inlineStr">
        <is>
          <t>Middle</t>
        </is>
      </c>
      <c r="J33" s="13" t="inlineStr">
        <is>
          <t>1x</t>
        </is>
      </c>
      <c r="K33" s="13" t="inlineStr">
        <is>
          <t>Cover with foil for first 30 min; uncover to brown.</t>
        </is>
      </c>
    </row>
    <row r="34">
      <c r="A34" s="13" t="inlineStr">
        <is>
          <t>D033</t>
        </is>
      </c>
      <c r="B34" s="13" t="inlineStr">
        <is>
          <t>Pasta</t>
        </is>
      </c>
      <c r="C34" s="13" t="inlineStr">
        <is>
          <t>Baked mac &amp; cheese</t>
        </is>
      </c>
      <c r="D34" s="13" t="inlineStr">
        <is>
          <t>ROAST</t>
        </is>
      </c>
      <c r="E34" s="15" t="n">
        <v>190</v>
      </c>
      <c r="F34" s="15" t="n">
        <v>28</v>
      </c>
      <c r="G34" s="15" t="n">
        <v>12</v>
      </c>
      <c r="H34" s="13" t="inlineStr">
        <is>
          <t>Baking dish</t>
        </is>
      </c>
      <c r="I34" s="13" t="inlineStr">
        <is>
          <t>Middle</t>
        </is>
      </c>
      <c r="J34" s="13" t="inlineStr">
        <is>
          <t>1x</t>
        </is>
      </c>
      <c r="K34" s="13" t="inlineStr">
        <is>
          <t>Broil 2–3 min for crispy top.</t>
        </is>
      </c>
    </row>
    <row r="35">
      <c r="A35" s="13" t="inlineStr">
        <is>
          <t>D034</t>
        </is>
      </c>
      <c r="B35" s="13" t="inlineStr">
        <is>
          <t>Pasta</t>
        </is>
      </c>
      <c r="C35" s="13" t="inlineStr">
        <is>
          <t>Stuffed pasta bake</t>
        </is>
      </c>
      <c r="D35" s="13" t="inlineStr">
        <is>
          <t>ROAST</t>
        </is>
      </c>
      <c r="E35" s="15" t="n">
        <v>190</v>
      </c>
      <c r="F35" s="15" t="n">
        <v>30</v>
      </c>
      <c r="G35" s="15" t="n">
        <v>12</v>
      </c>
      <c r="H35" s="13" t="inlineStr">
        <is>
          <t>Baking dish</t>
        </is>
      </c>
      <c r="I35" s="13" t="inlineStr">
        <is>
          <t>Middle</t>
        </is>
      </c>
      <c r="J35" s="13" t="inlineStr">
        <is>
          <t>1x</t>
        </is>
      </c>
      <c r="K35" s="13" t="inlineStr">
        <is>
          <t>Cover if drying; broil at end.</t>
        </is>
      </c>
    </row>
    <row r="36">
      <c r="A36" s="13" t="inlineStr">
        <is>
          <t>D035</t>
        </is>
      </c>
      <c r="B36" s="13" t="inlineStr">
        <is>
          <t>Baking</t>
        </is>
      </c>
      <c r="C36" s="13" t="inlineStr">
        <is>
          <t>Naan / kulcha (finish)</t>
        </is>
      </c>
      <c r="D36" s="13" t="inlineStr">
        <is>
          <t>GRILL_TOP</t>
        </is>
      </c>
      <c r="E36" s="15" t="n">
        <v>240</v>
      </c>
      <c r="F36" s="15" t="n">
        <v>4</v>
      </c>
      <c r="G36" s="15" t="n">
        <v>12</v>
      </c>
      <c r="H36" s="13" t="inlineStr">
        <is>
          <t>Direct on rack</t>
        </is>
      </c>
      <c r="I36" s="13" t="inlineStr">
        <is>
          <t>Top</t>
        </is>
      </c>
      <c r="J36" s="13" t="inlineStr">
        <is>
          <t>1x</t>
        </is>
      </c>
      <c r="K36" s="13" t="inlineStr">
        <is>
          <t>Use top heat to brown quickly; watch continuously.</t>
        </is>
      </c>
    </row>
    <row r="37">
      <c r="A37" s="13" t="inlineStr">
        <is>
          <t>D036</t>
        </is>
      </c>
      <c r="B37" s="13" t="inlineStr">
        <is>
          <t>Indian</t>
        </is>
      </c>
      <c r="C37" s="13" t="inlineStr">
        <is>
          <t>Baati / litti (stuffed dough balls)</t>
        </is>
      </c>
      <c r="D37" s="13" t="inlineStr">
        <is>
          <t>ROAST</t>
        </is>
      </c>
      <c r="E37" s="15" t="n">
        <v>200</v>
      </c>
      <c r="F37" s="15" t="n">
        <v>35</v>
      </c>
      <c r="G37" s="15" t="n">
        <v>15</v>
      </c>
      <c r="H37" s="13" t="inlineStr">
        <is>
          <t>Tray</t>
        </is>
      </c>
      <c r="I37" s="13" t="inlineStr">
        <is>
          <t>Middle</t>
        </is>
      </c>
      <c r="J37" s="13" t="inlineStr">
        <is>
          <t>1x</t>
        </is>
      </c>
      <c r="K37" s="13" t="inlineStr">
        <is>
          <t>Turn twice; finish with top heat for crust.</t>
        </is>
      </c>
    </row>
    <row r="38">
      <c r="A38" s="13" t="inlineStr">
        <is>
          <t>D037</t>
        </is>
      </c>
      <c r="B38" s="13" t="inlineStr">
        <is>
          <t>Indian</t>
        </is>
      </c>
      <c r="C38" s="13" t="inlineStr">
        <is>
          <t>Baked dhokla (steam-bake)</t>
        </is>
      </c>
      <c r="D38" s="13" t="inlineStr">
        <is>
          <t>BAKE_DELICATE</t>
        </is>
      </c>
      <c r="E38" s="15" t="n">
        <v>160</v>
      </c>
      <c r="F38" s="15" t="n">
        <v>25</v>
      </c>
      <c r="G38" s="15" t="n">
        <v>12</v>
      </c>
      <c r="H38" s="13" t="inlineStr">
        <is>
          <t>Tin</t>
        </is>
      </c>
      <c r="I38" s="13" t="inlineStr">
        <is>
          <t>Middle</t>
        </is>
      </c>
      <c r="J38" s="13" t="inlineStr">
        <is>
          <t>1x</t>
        </is>
      </c>
      <c r="K38" s="13" t="inlineStr">
        <is>
          <t>Use water tray for humidity; check set.</t>
        </is>
      </c>
    </row>
    <row r="39">
      <c r="A39" s="13" t="inlineStr">
        <is>
          <t>D038</t>
        </is>
      </c>
      <c r="B39" s="13" t="inlineStr">
        <is>
          <t>Dessert</t>
        </is>
      </c>
      <c r="C39" s="13" t="inlineStr">
        <is>
          <t>Bread pudding</t>
        </is>
      </c>
      <c r="D39" s="13" t="inlineStr">
        <is>
          <t>BAKE_DELICATE</t>
        </is>
      </c>
      <c r="E39" s="15" t="n">
        <v>170</v>
      </c>
      <c r="F39" s="15" t="n">
        <v>35</v>
      </c>
      <c r="G39" s="15" t="n">
        <v>12</v>
      </c>
      <c r="H39" s="13" t="inlineStr">
        <is>
          <t>Baking dish</t>
        </is>
      </c>
      <c r="I39" s="13" t="inlineStr">
        <is>
          <t>Middle</t>
        </is>
      </c>
      <c r="J39" s="13" t="inlineStr">
        <is>
          <t>1x</t>
        </is>
      </c>
      <c r="K39" s="13" t="inlineStr">
        <is>
          <t>Bake until just set; rest 10 min.</t>
        </is>
      </c>
    </row>
    <row r="40">
      <c r="A40" s="13" t="inlineStr">
        <is>
          <t>D039</t>
        </is>
      </c>
      <c r="B40" s="13" t="inlineStr">
        <is>
          <t>Dessert</t>
        </is>
      </c>
      <c r="C40" s="13" t="inlineStr">
        <is>
          <t>Apple crumble</t>
        </is>
      </c>
      <c r="D40" s="13" t="inlineStr">
        <is>
          <t>BAKE_STANDARD</t>
        </is>
      </c>
      <c r="E40" s="15" t="n">
        <v>190</v>
      </c>
      <c r="F40" s="15" t="n">
        <v>35</v>
      </c>
      <c r="G40" s="15" t="n">
        <v>12</v>
      </c>
      <c r="H40" s="13" t="inlineStr">
        <is>
          <t>Baking dish</t>
        </is>
      </c>
      <c r="I40" s="13" t="inlineStr">
        <is>
          <t>Middle</t>
        </is>
      </c>
      <c r="J40" s="13" t="inlineStr">
        <is>
          <t>1x</t>
        </is>
      </c>
      <c r="K40" s="13" t="inlineStr">
        <is>
          <t>Bake until bubbling and golden.</t>
        </is>
      </c>
    </row>
    <row r="41">
      <c r="A41" s="13" t="inlineStr">
        <is>
          <t>D040</t>
        </is>
      </c>
      <c r="B41" s="13" t="inlineStr">
        <is>
          <t>Dessert</t>
        </is>
      </c>
      <c r="C41" s="13" t="inlineStr">
        <is>
          <t>Baked rasgulla / chhena dessert</t>
        </is>
      </c>
      <c r="D41" s="13" t="inlineStr">
        <is>
          <t>BAKE_DELICATE</t>
        </is>
      </c>
      <c r="E41" s="15" t="n">
        <v>160</v>
      </c>
      <c r="F41" s="15" t="n">
        <v>30</v>
      </c>
      <c r="G41" s="15" t="n">
        <v>12</v>
      </c>
      <c r="H41" s="13" t="inlineStr">
        <is>
          <t>Baking dish</t>
        </is>
      </c>
      <c r="I41" s="13" t="inlineStr">
        <is>
          <t>Middle</t>
        </is>
      </c>
      <c r="J41" s="13" t="inlineStr">
        <is>
          <t>1x</t>
        </is>
      </c>
      <c r="K41" s="13" t="inlineStr">
        <is>
          <t>Gentle heat; avoid high fan; cover if browning.</t>
        </is>
      </c>
    </row>
    <row r="42">
      <c r="A42" s="13" t="inlineStr">
        <is>
          <t>D041</t>
        </is>
      </c>
      <c r="B42" s="13" t="inlineStr">
        <is>
          <t>Pizza</t>
        </is>
      </c>
      <c r="C42" s="13" t="inlineStr">
        <is>
          <t>Thin crust pizza</t>
        </is>
      </c>
      <c r="D42" s="13" t="inlineStr">
        <is>
          <t>BAKE_STANDARD</t>
        </is>
      </c>
      <c r="E42" s="15" t="n">
        <v>250</v>
      </c>
      <c r="F42" s="15" t="n">
        <v>9</v>
      </c>
      <c r="G42" s="15" t="n">
        <v>15</v>
      </c>
      <c r="H42" s="13" t="inlineStr">
        <is>
          <t>Stone/tray</t>
        </is>
      </c>
      <c r="I42" s="13" t="inlineStr">
        <is>
          <t>Bottom</t>
        </is>
      </c>
      <c r="J42" s="13" t="inlineStr">
        <is>
          <t>1x</t>
        </is>
      </c>
      <c r="K42" s="13" t="inlineStr">
        <is>
          <t>Preheat max; bake hot and fast.</t>
        </is>
      </c>
    </row>
    <row r="43">
      <c r="A43" s="13" t="inlineStr">
        <is>
          <t>D042</t>
        </is>
      </c>
      <c r="B43" s="13" t="inlineStr">
        <is>
          <t>Pizza</t>
        </is>
      </c>
      <c r="C43" s="13" t="inlineStr">
        <is>
          <t>Reheat pizza slice</t>
        </is>
      </c>
      <c r="D43" s="13" t="inlineStr">
        <is>
          <t>REHEAT_CRISP</t>
        </is>
      </c>
      <c r="E43" s="15" t="n">
        <v>200</v>
      </c>
      <c r="F43" s="15" t="n">
        <v>7</v>
      </c>
      <c r="G43" s="15" t="n">
        <v>5</v>
      </c>
      <c r="H43" s="13" t="inlineStr">
        <is>
          <t>Tray</t>
        </is>
      </c>
      <c r="I43" s="13" t="inlineStr">
        <is>
          <t>Middle</t>
        </is>
      </c>
      <c r="J43" s="13" t="inlineStr">
        <is>
          <t>1x</t>
        </is>
      </c>
      <c r="K43" s="13" t="inlineStr">
        <is>
          <t>Cover loosely if cheese browns too fast.</t>
        </is>
      </c>
    </row>
    <row r="44">
      <c r="A44" s="13" t="inlineStr">
        <is>
          <t>D043</t>
        </is>
      </c>
      <c r="B44" s="13" t="inlineStr">
        <is>
          <t>Vegetables</t>
        </is>
      </c>
      <c r="C44" s="13" t="inlineStr">
        <is>
          <t>Grilled corn (half cobs)</t>
        </is>
      </c>
      <c r="D44" s="13" t="inlineStr">
        <is>
          <t>GRILL_TOP</t>
        </is>
      </c>
      <c r="E44" s="15" t="n">
        <v>230</v>
      </c>
      <c r="F44" s="15" t="n">
        <v>16</v>
      </c>
      <c r="G44" s="15" t="n">
        <v>10</v>
      </c>
      <c r="H44" s="13" t="inlineStr">
        <is>
          <t>Rack/tray</t>
        </is>
      </c>
      <c r="I44" s="13" t="inlineStr">
        <is>
          <t>Top</t>
        </is>
      </c>
      <c r="J44" s="13" t="inlineStr">
        <is>
          <t>1x</t>
        </is>
      </c>
      <c r="K44" s="13" t="inlineStr">
        <is>
          <t>Turn every 4 min; baste with butter.</t>
        </is>
      </c>
    </row>
    <row r="45">
      <c r="A45" s="13" t="inlineStr">
        <is>
          <t>D044</t>
        </is>
      </c>
      <c r="B45" s="13" t="inlineStr">
        <is>
          <t>Vegetables</t>
        </is>
      </c>
      <c r="C45" s="13" t="inlineStr">
        <is>
          <t>Gratin (potato/veg)</t>
        </is>
      </c>
      <c r="D45" s="13" t="inlineStr">
        <is>
          <t>ROAST</t>
        </is>
      </c>
      <c r="E45" s="15" t="n">
        <v>200</v>
      </c>
      <c r="F45" s="15" t="n">
        <v>45</v>
      </c>
      <c r="G45" s="15" t="n">
        <v>12</v>
      </c>
      <c r="H45" s="13" t="inlineStr">
        <is>
          <t>Baking dish</t>
        </is>
      </c>
      <c r="I45" s="13" t="inlineStr">
        <is>
          <t>Middle</t>
        </is>
      </c>
      <c r="J45" s="13" t="inlineStr">
        <is>
          <t>1x</t>
        </is>
      </c>
      <c r="K45" s="13" t="inlineStr">
        <is>
          <t>Broil last 3–5 min for browned top.</t>
        </is>
      </c>
    </row>
    <row r="46">
      <c r="A46" s="13" t="inlineStr">
        <is>
          <t>D045</t>
        </is>
      </c>
      <c r="B46" s="13" t="inlineStr">
        <is>
          <t>Meat</t>
        </is>
      </c>
      <c r="C46" s="13" t="inlineStr">
        <is>
          <t>Mutton/lamb chops</t>
        </is>
      </c>
      <c r="D46" s="13" t="inlineStr">
        <is>
          <t>GRILL_TOP</t>
        </is>
      </c>
      <c r="E46" s="15" t="n">
        <v>230</v>
      </c>
      <c r="F46" s="15" t="n">
        <v>18</v>
      </c>
      <c r="G46" s="15" t="n">
        <v>12</v>
      </c>
      <c r="H46" s="13" t="inlineStr">
        <is>
          <t>Rack/tray</t>
        </is>
      </c>
      <c r="I46" s="13" t="inlineStr">
        <is>
          <t>Top</t>
        </is>
      </c>
      <c r="J46" s="13" t="inlineStr">
        <is>
          <t>1x</t>
        </is>
      </c>
      <c r="K46" s="13" t="inlineStr">
        <is>
          <t>Flip twice; rest; time varies by thickness.</t>
        </is>
      </c>
    </row>
    <row r="47">
      <c r="A47" s="13" t="inlineStr">
        <is>
          <t>D046</t>
        </is>
      </c>
      <c r="B47" s="13" t="inlineStr">
        <is>
          <t>Meat</t>
        </is>
      </c>
      <c r="C47" s="13" t="inlineStr">
        <is>
          <t>Meatballs</t>
        </is>
      </c>
      <c r="D47" s="13" t="inlineStr">
        <is>
          <t>ROAST</t>
        </is>
      </c>
      <c r="E47" s="15" t="n">
        <v>210</v>
      </c>
      <c r="F47" s="15" t="n">
        <v>18</v>
      </c>
      <c r="G47" s="15" t="n">
        <v>12</v>
      </c>
      <c r="H47" s="13" t="inlineStr">
        <is>
          <t>Tray</t>
        </is>
      </c>
      <c r="I47" s="13" t="inlineStr">
        <is>
          <t>Middle</t>
        </is>
      </c>
      <c r="J47" s="13" t="inlineStr">
        <is>
          <t>1x</t>
        </is>
      </c>
      <c r="K47" s="13" t="inlineStr">
        <is>
          <t>Turn once; finish with top heat.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6" customWidth="1" min="3" max="3"/>
    <col width="12" customWidth="1" min="4" max="4"/>
    <col width="10" customWidth="1" min="5" max="5"/>
    <col width="12" customWidth="1" min="6" max="6"/>
    <col width="52" customWidth="1" min="7" max="7"/>
  </cols>
  <sheetData>
    <row r="1" ht="22" customHeight="1">
      <c r="A1" s="12" t="inlineStr">
        <is>
          <t>Key</t>
        </is>
      </c>
      <c r="B1" s="12" t="inlineStr">
        <is>
          <t>Device</t>
        </is>
      </c>
      <c r="C1" s="12" t="inlineStr">
        <is>
          <t>ModeType</t>
        </is>
      </c>
      <c r="D1" s="12" t="inlineStr">
        <is>
          <t>TempOffsetC</t>
        </is>
      </c>
      <c r="E1" s="12" t="inlineStr">
        <is>
          <t>TimeFactor</t>
        </is>
      </c>
      <c r="F1" s="12" t="inlineStr">
        <is>
          <t>PreheatMin</t>
        </is>
      </c>
      <c r="G1" s="12" t="inlineStr">
        <is>
          <t>Notes</t>
        </is>
      </c>
    </row>
    <row r="2">
      <c r="A2" s="13" t="inlineStr">
        <is>
          <t>Oven (Conventional)|BAKE_DELICATE</t>
        </is>
      </c>
      <c r="B2" s="13" t="inlineStr">
        <is>
          <t>Oven (Conventional)</t>
        </is>
      </c>
      <c r="C2" s="13" t="inlineStr">
        <is>
          <t>BAKE_DELICATE</t>
        </is>
      </c>
      <c r="D2" s="15" t="n">
        <v>0</v>
      </c>
      <c r="E2" s="16" t="n">
        <v>1</v>
      </c>
      <c r="F2" s="15" t="n">
        <v>12</v>
      </c>
      <c r="G2" s="13" t="inlineStr">
        <is>
          <t>Baseline reference.</t>
        </is>
      </c>
    </row>
    <row r="3">
      <c r="A3" s="13" t="inlineStr">
        <is>
          <t>Oven (Conventional)|BAKE_STANDARD</t>
        </is>
      </c>
      <c r="B3" s="13" t="inlineStr">
        <is>
          <t>Oven (Conventional)</t>
        </is>
      </c>
      <c r="C3" s="13" t="inlineStr">
        <is>
          <t>BAKE_STANDARD</t>
        </is>
      </c>
      <c r="D3" s="15" t="n">
        <v>0</v>
      </c>
      <c r="E3" s="16" t="n">
        <v>1</v>
      </c>
      <c r="F3" s="15" t="n">
        <v>12</v>
      </c>
      <c r="G3" s="13" t="inlineStr">
        <is>
          <t>Baseline reference.</t>
        </is>
      </c>
    </row>
    <row r="4">
      <c r="A4" s="13" t="inlineStr">
        <is>
          <t>Oven (Conventional)|ROAST</t>
        </is>
      </c>
      <c r="B4" s="13" t="inlineStr">
        <is>
          <t>Oven (Conventional)</t>
        </is>
      </c>
      <c r="C4" s="13" t="inlineStr">
        <is>
          <t>ROAST</t>
        </is>
      </c>
      <c r="D4" s="15" t="n">
        <v>0</v>
      </c>
      <c r="E4" s="16" t="n">
        <v>1</v>
      </c>
      <c r="F4" s="15" t="n">
        <v>12</v>
      </c>
      <c r="G4" s="13" t="inlineStr">
        <is>
          <t>Baseline reference.</t>
        </is>
      </c>
    </row>
    <row r="5">
      <c r="A5" s="13" t="inlineStr">
        <is>
          <t>Oven (Conventional)|GRILL_TOP</t>
        </is>
      </c>
      <c r="B5" s="13" t="inlineStr">
        <is>
          <t>Oven (Conventional)</t>
        </is>
      </c>
      <c r="C5" s="13" t="inlineStr">
        <is>
          <t>GRILL_TOP</t>
        </is>
      </c>
      <c r="D5" s="15" t="n">
        <v>0</v>
      </c>
      <c r="E5" s="16" t="n">
        <v>1</v>
      </c>
      <c r="F5" s="15" t="n">
        <v>5</v>
      </c>
      <c r="G5" s="13" t="inlineStr">
        <is>
          <t>Baseline reference.</t>
        </is>
      </c>
    </row>
    <row r="6">
      <c r="A6" s="13" t="inlineStr">
        <is>
          <t>Oven (Conventional)|REHEAT_CRISP</t>
        </is>
      </c>
      <c r="B6" s="13" t="inlineStr">
        <is>
          <t>Oven (Conventional)</t>
        </is>
      </c>
      <c r="C6" s="13" t="inlineStr">
        <is>
          <t>REHEAT_CRISP</t>
        </is>
      </c>
      <c r="D6" s="15" t="n">
        <v>0</v>
      </c>
      <c r="E6" s="16" t="n">
        <v>1</v>
      </c>
      <c r="F6" s="15" t="n">
        <v>12</v>
      </c>
      <c r="G6" s="13" t="inlineStr">
        <is>
          <t>Baseline reference.</t>
        </is>
      </c>
    </row>
    <row r="7">
      <c r="A7" s="13" t="inlineStr">
        <is>
          <t>OTG (Conventional)|BAKE_DELICATE</t>
        </is>
      </c>
      <c r="B7" s="13" t="inlineStr">
        <is>
          <t>OTG (Conventional)</t>
        </is>
      </c>
      <c r="C7" s="13" t="inlineStr">
        <is>
          <t>BAKE_DELICATE</t>
        </is>
      </c>
      <c r="D7" s="15" t="n">
        <v>0</v>
      </c>
      <c r="E7" s="16" t="n">
        <v>1.05</v>
      </c>
      <c r="F7" s="15" t="n">
        <v>15</v>
      </c>
      <c r="G7" s="13" t="inlineStr">
        <is>
          <t>Smaller cavity; rotate once; may brown faster on top.</t>
        </is>
      </c>
    </row>
    <row r="8">
      <c r="A8" s="13" t="inlineStr">
        <is>
          <t>OTG (Conventional)|BAKE_STANDARD</t>
        </is>
      </c>
      <c r="B8" s="13" t="inlineStr">
        <is>
          <t>OTG (Conventional)</t>
        </is>
      </c>
      <c r="C8" s="13" t="inlineStr">
        <is>
          <t>BAKE_STANDARD</t>
        </is>
      </c>
      <c r="D8" s="15" t="n">
        <v>0</v>
      </c>
      <c r="E8" s="16" t="n">
        <v>1.05</v>
      </c>
      <c r="F8" s="15" t="n">
        <v>15</v>
      </c>
      <c r="G8" s="13" t="inlineStr">
        <is>
          <t>Smaller cavity; rotate once; may brown faster on top.</t>
        </is>
      </c>
    </row>
    <row r="9">
      <c r="A9" s="13" t="inlineStr">
        <is>
          <t>OTG (Conventional)|ROAST</t>
        </is>
      </c>
      <c r="B9" s="13" t="inlineStr">
        <is>
          <t>OTG (Conventional)</t>
        </is>
      </c>
      <c r="C9" s="13" t="inlineStr">
        <is>
          <t>ROAST</t>
        </is>
      </c>
      <c r="D9" s="15" t="n">
        <v>0</v>
      </c>
      <c r="E9" s="16" t="n">
        <v>1.05</v>
      </c>
      <c r="F9" s="15" t="n">
        <v>15</v>
      </c>
      <c r="G9" s="13" t="inlineStr">
        <is>
          <t>Smaller cavity; rotate once; may brown faster on top.</t>
        </is>
      </c>
    </row>
    <row r="10">
      <c r="A10" s="13" t="inlineStr">
        <is>
          <t>OTG (Conventional)|GRILL_TOP</t>
        </is>
      </c>
      <c r="B10" s="13" t="inlineStr">
        <is>
          <t>OTG (Conventional)</t>
        </is>
      </c>
      <c r="C10" s="13" t="inlineStr">
        <is>
          <t>GRILL_TOP</t>
        </is>
      </c>
      <c r="D10" s="15" t="n">
        <v>0</v>
      </c>
      <c r="E10" s="16" t="n">
        <v>1</v>
      </c>
      <c r="F10" s="15" t="n">
        <v>5</v>
      </c>
      <c r="G10" s="13" t="inlineStr">
        <is>
          <t>Smaller cavity; rotate once; may brown faster on top.</t>
        </is>
      </c>
    </row>
    <row r="11">
      <c r="A11" s="13" t="inlineStr">
        <is>
          <t>OTG (Conventional)|REHEAT_CRISP</t>
        </is>
      </c>
      <c r="B11" s="13" t="inlineStr">
        <is>
          <t>OTG (Conventional)</t>
        </is>
      </c>
      <c r="C11" s="13" t="inlineStr">
        <is>
          <t>REHEAT_CRISP</t>
        </is>
      </c>
      <c r="D11" s="15" t="n">
        <v>0</v>
      </c>
      <c r="E11" s="16" t="n">
        <v>1</v>
      </c>
      <c r="F11" s="15" t="n">
        <v>15</v>
      </c>
      <c r="G11" s="13" t="inlineStr">
        <is>
          <t>Smaller cavity; rotate once; may brown faster on top.</t>
        </is>
      </c>
    </row>
    <row r="12">
      <c r="A12" s="13" t="inlineStr">
        <is>
          <t>Oven (Convection/Fan)|BAKE_DELICATE</t>
        </is>
      </c>
      <c r="B12" s="13" t="inlineStr">
        <is>
          <t>Oven (Convection/Fan)</t>
        </is>
      </c>
      <c r="C12" s="13" t="inlineStr">
        <is>
          <t>BAKE_DELICATE</t>
        </is>
      </c>
      <c r="D12" s="15" t="n">
        <v>-10</v>
      </c>
      <c r="E12" s="16" t="n">
        <v>0.9</v>
      </c>
      <c r="F12" s="15" t="n">
        <v>10</v>
      </c>
      <c r="G12" s="13" t="inlineStr">
        <is>
          <t>Lower temp slightly; avoid over-drying; check early.</t>
        </is>
      </c>
    </row>
    <row r="13">
      <c r="A13" s="13" t="inlineStr">
        <is>
          <t>Oven (Convection/Fan)|BAKE_STANDARD</t>
        </is>
      </c>
      <c r="B13" s="13" t="inlineStr">
        <is>
          <t>Oven (Convection/Fan)</t>
        </is>
      </c>
      <c r="C13" s="13" t="inlineStr">
        <is>
          <t>BAKE_STANDARD</t>
        </is>
      </c>
      <c r="D13" s="15" t="n">
        <v>-15</v>
      </c>
      <c r="E13" s="16" t="n">
        <v>0.85</v>
      </c>
      <c r="F13" s="15" t="n">
        <v>10</v>
      </c>
      <c r="G13" s="13" t="inlineStr">
        <is>
          <t>Rule-of-thumb: lower temp and/or shorten time; check early.</t>
        </is>
      </c>
    </row>
    <row r="14">
      <c r="A14" s="13" t="inlineStr">
        <is>
          <t>Oven (Convection/Fan)|ROAST</t>
        </is>
      </c>
      <c r="B14" s="13" t="inlineStr">
        <is>
          <t>Oven (Convection/Fan)</t>
        </is>
      </c>
      <c r="C14" s="13" t="inlineStr">
        <is>
          <t>ROAST</t>
        </is>
      </c>
      <c r="D14" s="15" t="n">
        <v>-15</v>
      </c>
      <c r="E14" s="16" t="n">
        <v>0.85</v>
      </c>
      <c r="F14" s="15" t="n">
        <v>10</v>
      </c>
      <c r="G14" s="13" t="inlineStr">
        <is>
          <t>Rule-of-thumb: lower temp and/or shorten time; check early.</t>
        </is>
      </c>
    </row>
    <row r="15">
      <c r="A15" s="13" t="inlineStr">
        <is>
          <t>Oven (Convection/Fan)|GRILL_TOP</t>
        </is>
      </c>
      <c r="B15" s="13" t="inlineStr">
        <is>
          <t>Oven (Convection/Fan)</t>
        </is>
      </c>
      <c r="C15" s="13" t="inlineStr">
        <is>
          <t>GRILL_TOP</t>
        </is>
      </c>
      <c r="D15" s="15" t="n">
        <v>0</v>
      </c>
      <c r="E15" s="16" t="n">
        <v>0.85</v>
      </c>
      <c r="F15" s="15" t="n">
        <v>5</v>
      </c>
      <c r="G15" s="13" t="inlineStr">
        <is>
          <t>Use top heat; watch closely.</t>
        </is>
      </c>
    </row>
    <row r="16">
      <c r="A16" s="13" t="inlineStr">
        <is>
          <t>Oven (Convection/Fan)|REHEAT_CRISP</t>
        </is>
      </c>
      <c r="B16" s="13" t="inlineStr">
        <is>
          <t>Oven (Convection/Fan)</t>
        </is>
      </c>
      <c r="C16" s="13" t="inlineStr">
        <is>
          <t>REHEAT_CRISP</t>
        </is>
      </c>
      <c r="D16" s="15" t="n">
        <v>-15</v>
      </c>
      <c r="E16" s="16" t="n">
        <v>0.85</v>
      </c>
      <c r="F16" s="15" t="n">
        <v>10</v>
      </c>
      <c r="G16" s="13" t="inlineStr">
        <is>
          <t>Rule-of-thumb: lower temp and/or shorten time; check early.</t>
        </is>
      </c>
    </row>
    <row r="17">
      <c r="A17" s="13" t="inlineStr">
        <is>
          <t>OTG (Convection/Fan)|BAKE_DELICATE</t>
        </is>
      </c>
      <c r="B17" s="13" t="inlineStr">
        <is>
          <t>OTG (Convection/Fan)</t>
        </is>
      </c>
      <c r="C17" s="13" t="inlineStr">
        <is>
          <t>BAKE_DELICATE</t>
        </is>
      </c>
      <c r="D17" s="15" t="n">
        <v>-10</v>
      </c>
      <c r="E17" s="16" t="n">
        <v>0.88</v>
      </c>
      <c r="F17" s="15" t="n">
        <v>12</v>
      </c>
      <c r="G17" s="13" t="inlineStr">
        <is>
          <t>Countertop convection is intense; tent if browning.</t>
        </is>
      </c>
    </row>
    <row r="18">
      <c r="A18" s="13" t="inlineStr">
        <is>
          <t>OTG (Convection/Fan)|BAKE_STANDARD</t>
        </is>
      </c>
      <c r="B18" s="13" t="inlineStr">
        <is>
          <t>OTG (Convection/Fan)</t>
        </is>
      </c>
      <c r="C18" s="13" t="inlineStr">
        <is>
          <t>BAKE_STANDARD</t>
        </is>
      </c>
      <c r="D18" s="15" t="n">
        <v>-15</v>
      </c>
      <c r="E18" s="16" t="n">
        <v>0.82</v>
      </c>
      <c r="F18" s="15" t="n">
        <v>12</v>
      </c>
      <c r="G18" s="13" t="inlineStr">
        <is>
          <t>Faster than oven convection due to small cavity; check early.</t>
        </is>
      </c>
    </row>
    <row r="19">
      <c r="A19" s="13" t="inlineStr">
        <is>
          <t>OTG (Convection/Fan)|ROAST</t>
        </is>
      </c>
      <c r="B19" s="13" t="inlineStr">
        <is>
          <t>OTG (Convection/Fan)</t>
        </is>
      </c>
      <c r="C19" s="13" t="inlineStr">
        <is>
          <t>ROAST</t>
        </is>
      </c>
      <c r="D19" s="15" t="n">
        <v>-15</v>
      </c>
      <c r="E19" s="16" t="n">
        <v>0.82</v>
      </c>
      <c r="F19" s="15" t="n">
        <v>12</v>
      </c>
      <c r="G19" s="13" t="inlineStr">
        <is>
          <t>Faster than oven convection due to small cavity; check early.</t>
        </is>
      </c>
    </row>
    <row r="20">
      <c r="A20" s="13" t="inlineStr">
        <is>
          <t>OTG (Convection/Fan)|GRILL_TOP</t>
        </is>
      </c>
      <c r="B20" s="13" t="inlineStr">
        <is>
          <t>OTG (Convection/Fan)</t>
        </is>
      </c>
      <c r="C20" s="13" t="inlineStr">
        <is>
          <t>GRILL_TOP</t>
        </is>
      </c>
      <c r="D20" s="15" t="n">
        <v>0</v>
      </c>
      <c r="E20" s="16" t="n">
        <v>0.8</v>
      </c>
      <c r="F20" s="15" t="n">
        <v>5</v>
      </c>
      <c r="G20" s="13" t="inlineStr">
        <is>
          <t>Top element is close; watch closely.</t>
        </is>
      </c>
    </row>
    <row r="21">
      <c r="A21" s="13" t="inlineStr">
        <is>
          <t>OTG (Convection/Fan)|REHEAT_CRISP</t>
        </is>
      </c>
      <c r="B21" s="13" t="inlineStr">
        <is>
          <t>OTG (Convection/Fan)</t>
        </is>
      </c>
      <c r="C21" s="13" t="inlineStr">
        <is>
          <t>REHEAT_CRISP</t>
        </is>
      </c>
      <c r="D21" s="15" t="n">
        <v>-15</v>
      </c>
      <c r="E21" s="16" t="n">
        <v>0.82</v>
      </c>
      <c r="F21" s="15" t="n">
        <v>12</v>
      </c>
      <c r="G21" s="13" t="inlineStr">
        <is>
          <t>Faster than oven convection due to small cavity; check early.</t>
        </is>
      </c>
    </row>
    <row r="22">
      <c r="A22" s="13" t="inlineStr">
        <is>
          <t>Convection Microwave (Convection mode)|BAKE_DELICATE</t>
        </is>
      </c>
      <c r="B22" s="13" t="inlineStr">
        <is>
          <t>Convection Microwave (Convection mode)</t>
        </is>
      </c>
      <c r="C22" s="13" t="inlineStr">
        <is>
          <t>BAKE_DELICATE</t>
        </is>
      </c>
      <c r="D22" s="15" t="n">
        <v>-10</v>
      </c>
      <c r="E22" s="16" t="n">
        <v>0.95</v>
      </c>
      <c r="F22" s="15" t="n">
        <v>8</v>
      </c>
      <c r="G22" s="13" t="inlineStr">
        <is>
          <t>Often keep bake time similar; use low fan if available.</t>
        </is>
      </c>
    </row>
    <row r="23">
      <c r="A23" s="13" t="inlineStr">
        <is>
          <t>Convection Microwave (Convection mode)|BAKE_STANDARD</t>
        </is>
      </c>
      <c r="B23" s="13" t="inlineStr">
        <is>
          <t>Convection Microwave (Convection mode)</t>
        </is>
      </c>
      <c r="C23" s="13" t="inlineStr">
        <is>
          <t>BAKE_STANDARD</t>
        </is>
      </c>
      <c r="D23" s="15" t="n">
        <v>-15</v>
      </c>
      <c r="E23" s="16" t="n">
        <v>0.88</v>
      </c>
      <c r="F23" s="15" t="n">
        <v>8</v>
      </c>
      <c r="G23" s="13" t="inlineStr">
        <is>
          <t>Smaller cavity; check 5–10 min early for long bakes.</t>
        </is>
      </c>
    </row>
    <row r="24">
      <c r="A24" s="13" t="inlineStr">
        <is>
          <t>Convection Microwave (Convection mode)|ROAST</t>
        </is>
      </c>
      <c r="B24" s="13" t="inlineStr">
        <is>
          <t>Convection Microwave (Convection mode)</t>
        </is>
      </c>
      <c r="C24" s="13" t="inlineStr">
        <is>
          <t>ROAST</t>
        </is>
      </c>
      <c r="D24" s="15" t="n">
        <v>-15</v>
      </c>
      <c r="E24" s="16" t="n">
        <v>0.8</v>
      </c>
      <c r="F24" s="15" t="n">
        <v>8</v>
      </c>
      <c r="G24" s="13" t="inlineStr">
        <is>
          <t>Roasts can cook 20%+ faster; use thermometer.</t>
        </is>
      </c>
    </row>
    <row r="25">
      <c r="A25" s="13" t="inlineStr">
        <is>
          <t>Convection Microwave (Convection mode)|GRILL_TOP</t>
        </is>
      </c>
      <c r="B25" s="13" t="inlineStr">
        <is>
          <t>Convection Microwave (Convection mode)</t>
        </is>
      </c>
      <c r="C25" s="13" t="inlineStr">
        <is>
          <t>GRILL_TOP</t>
        </is>
      </c>
      <c r="D25" s="15" t="n">
        <v>0</v>
      </c>
      <c r="E25" s="16" t="n">
        <v>0.75</v>
      </c>
      <c r="F25" s="15" t="n">
        <v>5</v>
      </c>
      <c r="G25" s="13" t="inlineStr">
        <is>
          <t>Use grill element to brown; short bursts.</t>
        </is>
      </c>
    </row>
    <row r="26">
      <c r="A26" s="13" t="inlineStr">
        <is>
          <t>Convection Microwave (Convection mode)|REHEAT_CRISP</t>
        </is>
      </c>
      <c r="B26" s="13" t="inlineStr">
        <is>
          <t>Convection Microwave (Convection mode)</t>
        </is>
      </c>
      <c r="C26" s="13" t="inlineStr">
        <is>
          <t>REHEAT_CRISP</t>
        </is>
      </c>
      <c r="D26" s="15" t="n">
        <v>-10</v>
      </c>
      <c r="E26" s="16" t="n">
        <v>0.8</v>
      </c>
      <c r="F26" s="15" t="n">
        <v>5</v>
      </c>
      <c r="G26" s="13" t="inlineStr">
        <is>
          <t>Best for crisping small portions; watch closely.</t>
        </is>
      </c>
    </row>
    <row r="27">
      <c r="A27" s="13" t="inlineStr">
        <is>
          <t>Air Fryer (Basket)|BAKE_DELICATE</t>
        </is>
      </c>
      <c r="B27" s="13" t="inlineStr">
        <is>
          <t>Air Fryer (Basket)</t>
        </is>
      </c>
      <c r="C27" s="13" t="inlineStr">
        <is>
          <t>BAKE_DELICATE</t>
        </is>
      </c>
      <c r="D27" s="15" t="n">
        <v>-10</v>
      </c>
      <c r="E27" s="16" t="n">
        <v>0.9</v>
      </c>
      <c r="F27" s="15" t="n">
        <v>3</v>
      </c>
      <c r="G27" s="13" t="inlineStr">
        <is>
          <t>Use small pan/ramekin; avoid tall cakes; cover top if browning.</t>
        </is>
      </c>
    </row>
    <row r="28">
      <c r="A28" s="13" t="inlineStr">
        <is>
          <t>Air Fryer (Basket)|BAKE_STANDARD</t>
        </is>
      </c>
      <c r="B28" s="13" t="inlineStr">
        <is>
          <t>Air Fryer (Basket)</t>
        </is>
      </c>
      <c r="C28" s="13" t="inlineStr">
        <is>
          <t>BAKE_STANDARD</t>
        </is>
      </c>
      <c r="D28" s="15" t="n">
        <v>-10</v>
      </c>
      <c r="E28" s="16" t="n">
        <v>0.8</v>
      </c>
      <c r="F28" s="15" t="n">
        <v>3</v>
      </c>
      <c r="G28" s="13" t="inlineStr">
        <is>
          <t>Typical conversion: slightly lower temp, ~20% less time; check early.</t>
        </is>
      </c>
    </row>
    <row r="29">
      <c r="A29" s="13" t="inlineStr">
        <is>
          <t>Air Fryer (Basket)|ROAST</t>
        </is>
      </c>
      <c r="B29" s="13" t="inlineStr">
        <is>
          <t>Air Fryer (Basket)</t>
        </is>
      </c>
      <c r="C29" s="13" t="inlineStr">
        <is>
          <t>ROAST</t>
        </is>
      </c>
      <c r="D29" s="15" t="n">
        <v>-10</v>
      </c>
      <c r="E29" s="16" t="n">
        <v>0.8</v>
      </c>
      <c r="F29" s="15" t="n">
        <v>3</v>
      </c>
      <c r="G29" s="13" t="inlineStr">
        <is>
          <t>Typical conversion: slightly lower temp, ~20% less time; check early.</t>
        </is>
      </c>
    </row>
    <row r="30">
      <c r="A30" s="13" t="inlineStr">
        <is>
          <t>Air Fryer (Basket)|GRILL_TOP</t>
        </is>
      </c>
      <c r="B30" s="13" t="inlineStr">
        <is>
          <t>Air Fryer (Basket)</t>
        </is>
      </c>
      <c r="C30" s="13" t="inlineStr">
        <is>
          <t>GRILL_TOP</t>
        </is>
      </c>
      <c r="D30" s="15" t="n">
        <v>-10</v>
      </c>
      <c r="E30" s="16" t="n">
        <v>0.7</v>
      </c>
      <c r="F30" s="15" t="n">
        <v>3</v>
      </c>
      <c r="G30" s="13" t="inlineStr">
        <is>
          <t>Acts like a powerful broiler; flip/turn frequently.</t>
        </is>
      </c>
    </row>
    <row r="31">
      <c r="A31" s="13" t="inlineStr">
        <is>
          <t>Air Fryer (Basket)|REHEAT_CRISP</t>
        </is>
      </c>
      <c r="B31" s="13" t="inlineStr">
        <is>
          <t>Air Fryer (Basket)</t>
        </is>
      </c>
      <c r="C31" s="13" t="inlineStr">
        <is>
          <t>REHEAT_CRISP</t>
        </is>
      </c>
      <c r="D31" s="15" t="n">
        <v>-10</v>
      </c>
      <c r="E31" s="16" t="n">
        <v>0.75</v>
      </c>
      <c r="F31" s="15" t="n">
        <v>3</v>
      </c>
      <c r="G31" s="13" t="inlineStr">
        <is>
          <t>Shake/flip half-way for even crisping.</t>
        </is>
      </c>
    </row>
    <row r="32">
      <c r="A32" s="13" t="inlineStr">
        <is>
          <t>Air Fryer (Oven-style)|BAKE_DELICATE</t>
        </is>
      </c>
      <c r="B32" s="13" t="inlineStr">
        <is>
          <t>Air Fryer (Oven-style)</t>
        </is>
      </c>
      <c r="C32" s="13" t="inlineStr">
        <is>
          <t>BAKE_DELICATE</t>
        </is>
      </c>
      <c r="D32" s="15" t="n">
        <v>-10</v>
      </c>
      <c r="E32" s="16" t="n">
        <v>0.92</v>
      </c>
      <c r="F32" s="15" t="n">
        <v>4</v>
      </c>
      <c r="G32" s="13" t="inlineStr">
        <is>
          <t>Use middle rack; cover top if browning.</t>
        </is>
      </c>
    </row>
    <row r="33">
      <c r="A33" s="13" t="inlineStr">
        <is>
          <t>Air Fryer (Oven-style)|BAKE_STANDARD</t>
        </is>
      </c>
      <c r="B33" s="13" t="inlineStr">
        <is>
          <t>Air Fryer (Oven-style)</t>
        </is>
      </c>
      <c r="C33" s="13" t="inlineStr">
        <is>
          <t>BAKE_STANDARD</t>
        </is>
      </c>
      <c r="D33" s="15" t="n">
        <v>-10</v>
      </c>
      <c r="E33" s="16" t="n">
        <v>0.82</v>
      </c>
      <c r="F33" s="15" t="n">
        <v>4</v>
      </c>
      <c r="G33" s="13" t="inlineStr">
        <is>
          <t>Slightly slower than basket; still faster than oven.</t>
        </is>
      </c>
    </row>
    <row r="34">
      <c r="A34" s="13" t="inlineStr">
        <is>
          <t>Air Fryer (Oven-style)|ROAST</t>
        </is>
      </c>
      <c r="B34" s="13" t="inlineStr">
        <is>
          <t>Air Fryer (Oven-style)</t>
        </is>
      </c>
      <c r="C34" s="13" t="inlineStr">
        <is>
          <t>ROAST</t>
        </is>
      </c>
      <c r="D34" s="15" t="n">
        <v>-10</v>
      </c>
      <c r="E34" s="16" t="n">
        <v>0.82</v>
      </c>
      <c r="F34" s="15" t="n">
        <v>4</v>
      </c>
      <c r="G34" s="13" t="inlineStr">
        <is>
          <t>Slightly slower than basket; still faster than oven.</t>
        </is>
      </c>
    </row>
    <row r="35">
      <c r="A35" s="13" t="inlineStr">
        <is>
          <t>Air Fryer (Oven-style)|GRILL_TOP</t>
        </is>
      </c>
      <c r="B35" s="13" t="inlineStr">
        <is>
          <t>Air Fryer (Oven-style)</t>
        </is>
      </c>
      <c r="C35" s="13" t="inlineStr">
        <is>
          <t>GRILL_TOP</t>
        </is>
      </c>
      <c r="D35" s="15" t="n">
        <v>-10</v>
      </c>
      <c r="E35" s="16" t="n">
        <v>0.72</v>
      </c>
      <c r="F35" s="15" t="n">
        <v>4</v>
      </c>
      <c r="G35" s="13" t="inlineStr">
        <is>
          <t>Use top rack for browning; watch closely.</t>
        </is>
      </c>
    </row>
    <row r="36">
      <c r="A36" s="13" t="inlineStr">
        <is>
          <t>Air Fryer (Oven-style)|REHEAT_CRISP</t>
        </is>
      </c>
      <c r="B36" s="13" t="inlineStr">
        <is>
          <t>Air Fryer (Oven-style)</t>
        </is>
      </c>
      <c r="C36" s="13" t="inlineStr">
        <is>
          <t>REHEAT_CRISP</t>
        </is>
      </c>
      <c r="D36" s="15" t="n">
        <v>-10</v>
      </c>
      <c r="E36" s="16" t="n">
        <v>0.78</v>
      </c>
      <c r="F36" s="15" t="n">
        <v>4</v>
      </c>
      <c r="G36" s="13" t="inlineStr">
        <is>
          <t>Airflow still strong; rotate trays if needed.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56" customWidth="1" min="4" max="4"/>
    <col width="14" customWidth="1" min="5" max="5"/>
    <col width="14" customWidth="1" min="6" max="6"/>
  </cols>
  <sheetData>
    <row r="1">
      <c r="A1" s="17" t="inlineStr">
        <is>
          <t>Global controls (you can tweak these if your device runs hot/cold)</t>
        </is>
      </c>
    </row>
    <row r="2">
      <c r="A2" s="18" t="inlineStr">
        <is>
          <t>Quantity exponent (time scales ~ multiplier^exponent)</t>
        </is>
      </c>
      <c r="B2" s="10" t="n">
        <v>0.65</v>
      </c>
    </row>
    <row r="3">
      <c r="A3" s="18" t="inlineStr">
        <is>
          <t>Thickness exponent (time scales ~ multiplier^exponent)</t>
        </is>
      </c>
      <c r="B3" s="10" t="n">
        <v>0.5</v>
      </c>
    </row>
    <row r="4">
      <c r="A4" s="18" t="inlineStr">
        <is>
          <t>Extra time if starting from frozen</t>
        </is>
      </c>
      <c r="B4" s="10" t="n">
        <v>1.15</v>
      </c>
    </row>
    <row r="5">
      <c r="A5" s="18" t="inlineStr">
        <is>
          <t>Extra time if overcrowded (poor airflow)</t>
        </is>
      </c>
      <c r="B5" s="10" t="n">
        <v>1.1</v>
      </c>
    </row>
    <row r="8">
      <c r="A8" s="17" t="inlineStr">
        <is>
          <t>Container / cookware adjustments</t>
        </is>
      </c>
    </row>
    <row r="9" ht="22" customHeight="1">
      <c r="A9" s="12" t="inlineStr">
        <is>
          <t>Container</t>
        </is>
      </c>
      <c r="B9" s="12" t="inlineStr">
        <is>
          <t>TempOffsetC</t>
        </is>
      </c>
      <c r="C9" s="12" t="inlineStr">
        <is>
          <t>TimeFactor</t>
        </is>
      </c>
      <c r="D9" s="12" t="inlineStr">
        <is>
          <t>Notes</t>
        </is>
      </c>
    </row>
    <row r="10">
      <c r="A10" s="13" t="inlineStr">
        <is>
          <t>Metal (light / shiny)</t>
        </is>
      </c>
      <c r="B10" s="14" t="n">
        <v>0</v>
      </c>
      <c r="C10" s="19" t="n">
        <v>1</v>
      </c>
      <c r="D10" s="13" t="inlineStr">
        <is>
          <t>Baseline.</t>
        </is>
      </c>
    </row>
    <row r="11">
      <c r="A11" s="13" t="inlineStr">
        <is>
          <t>Metal (dark / non-stick)</t>
        </is>
      </c>
      <c r="B11" s="14" t="n">
        <v>-5</v>
      </c>
      <c r="C11" s="19" t="n">
        <v>0.98</v>
      </c>
      <c r="D11" s="13" t="inlineStr">
        <is>
          <t>Browns faster; consider slightly lower temp.</t>
        </is>
      </c>
    </row>
    <row r="12">
      <c r="A12" s="13" t="inlineStr">
        <is>
          <t>Glass / ceramic</t>
        </is>
      </c>
      <c r="B12" s="14" t="n">
        <v>-10</v>
      </c>
      <c r="C12" s="19" t="n">
        <v>1.05</v>
      </c>
      <c r="D12" s="13" t="inlineStr">
        <is>
          <t>Holds heat; often needs lower temp and slightly more time.</t>
        </is>
      </c>
    </row>
    <row r="13">
      <c r="A13" s="13" t="inlineStr">
        <is>
          <t>Silicone</t>
        </is>
      </c>
      <c r="B13" s="14" t="n">
        <v>0</v>
      </c>
      <c r="C13" s="19" t="n">
        <v>1.08</v>
      </c>
      <c r="D13" s="13" t="inlineStr">
        <is>
          <t>Insulates; may need a little longer.</t>
        </is>
      </c>
    </row>
    <row r="14">
      <c r="A14" s="13" t="inlineStr">
        <is>
          <t>Wire rack / no pan</t>
        </is>
      </c>
      <c r="B14" s="14" t="n">
        <v>0</v>
      </c>
      <c r="C14" s="19" t="n">
        <v>0.95</v>
      </c>
      <c r="D14" s="13" t="inlineStr">
        <is>
          <t>More airflow; cooks a bit faster.</t>
        </is>
      </c>
    </row>
    <row r="15">
      <c r="A15" s="13" t="inlineStr">
        <is>
          <t>Air fryer basket</t>
        </is>
      </c>
      <c r="B15" s="14" t="n">
        <v>0</v>
      </c>
      <c r="C15" s="19" t="n">
        <v>0.9</v>
      </c>
      <c r="D15" s="13" t="inlineStr">
        <is>
          <t>Strong airflow; shake/flip.</t>
        </is>
      </c>
    </row>
    <row r="18">
      <c r="A18" s="17" t="inlineStr">
        <is>
          <t>Rack position adjustments</t>
        </is>
      </c>
    </row>
    <row r="19" ht="22" customHeight="1">
      <c r="A19" s="12" t="inlineStr">
        <is>
          <t>Rack</t>
        </is>
      </c>
      <c r="B19" s="12" t="inlineStr">
        <is>
          <t>TempOffsetC</t>
        </is>
      </c>
      <c r="C19" s="12" t="inlineStr">
        <is>
          <t>TimeFactor</t>
        </is>
      </c>
      <c r="D19" s="12" t="inlineStr">
        <is>
          <t>Notes</t>
        </is>
      </c>
    </row>
    <row r="20">
      <c r="A20" s="13" t="inlineStr">
        <is>
          <t>Top</t>
        </is>
      </c>
      <c r="B20" s="14" t="n">
        <v>0</v>
      </c>
      <c r="C20" s="19" t="n">
        <v>1</v>
      </c>
      <c r="D20" s="13" t="inlineStr">
        <is>
          <t>More browning; watch tops.</t>
        </is>
      </c>
    </row>
    <row r="21">
      <c r="A21" s="13" t="inlineStr">
        <is>
          <t>Middle</t>
        </is>
      </c>
      <c r="B21" s="14" t="n">
        <v>0</v>
      </c>
      <c r="C21" s="19" t="n">
        <v>1</v>
      </c>
      <c r="D21" s="13" t="inlineStr">
        <is>
          <t>Most even for baking/roasting.</t>
        </is>
      </c>
    </row>
    <row r="22">
      <c r="A22" s="13" t="inlineStr">
        <is>
          <t>Bottom</t>
        </is>
      </c>
      <c r="B22" s="14" t="n">
        <v>0</v>
      </c>
      <c r="C22" s="19" t="n">
        <v>1.03</v>
      </c>
      <c r="D22" s="13" t="inlineStr">
        <is>
          <t>Slower browning on top; good for crisp bases.</t>
        </is>
      </c>
    </row>
  </sheetData>
  <mergeCells count="3">
    <mergeCell ref="A8:F8"/>
    <mergeCell ref="A1:F1"/>
    <mergeCell ref="A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0" t="inlineStr">
        <is>
          <t>GetBakinGood — How to use this workbook</t>
        </is>
      </c>
    </row>
    <row r="2">
      <c r="A2" s="21" t="inlineStr">
        <is>
          <t>Tip: blue cells are editable inputs.</t>
        </is>
      </c>
    </row>
    <row r="4">
      <c r="A4" s="17" t="inlineStr">
        <is>
          <t>What GetBakinGood does</t>
        </is>
      </c>
    </row>
    <row r="5" ht="60" customHeight="1">
      <c r="A5" s="22" t="inlineStr">
        <is>
          <t>Pick a dish preset OR enter your own recipe settings, then choose your device and GetBakinGood suggests adjusted temperature, time and key setup notes.
It uses device-specific conversion rules (fan convection, convection microwave, air fryer) plus optional adjustments for quantity, thickness and cookware.</t>
        </is>
      </c>
    </row>
    <row r="7">
      <c r="A7" s="17" t="inlineStr">
        <is>
          <t>Good defaults (but verify once)</t>
        </is>
      </c>
    </row>
    <row r="8" ht="60" customHeight="1">
      <c r="A8" s="22" t="inlineStr">
        <is>
          <t>Convection/fan typically needs a slightly lower temperature and/or shorter cook time than a conventional oven.
Air fryers are usually faster and may need a slightly lower temperature.
Always check earlier on your first attempt with a new device/model.</t>
        </is>
      </c>
    </row>
    <row r="10">
      <c r="A10" s="17" t="inlineStr">
        <is>
          <t>Accuracy checklist</t>
        </is>
      </c>
    </row>
    <row r="11" ht="60" customHeight="1">
      <c r="A11" s="22" t="inlineStr">
        <is>
          <t>• Preheat properly (OTGs often need more time).
• Use the right rack (middle = most even; bottom = crisp base; top = browning).
• Don’t overcrowd trays/baskets (air needs room).
• Rotate once if your device has hotspots.
• For meat/fish, use an instant-read thermometer when possible.</t>
        </is>
      </c>
    </row>
    <row r="13">
      <c r="A13" s="17" t="inlineStr">
        <is>
          <t>Microwave note</t>
        </is>
      </c>
    </row>
    <row r="14" ht="60" customHeight="1">
      <c r="A14" s="22" t="inlineStr">
        <is>
          <t>These conversions apply to convection mode or grill mode. Plain microwave mode is not suitable for most baking.</t>
        </is>
      </c>
    </row>
    <row r="16">
      <c r="A16" s="17" t="inlineStr">
        <is>
          <t>Safety</t>
        </is>
      </c>
    </row>
    <row r="17" ht="60" customHeight="1">
      <c r="A17" s="22" t="inlineStr">
        <is>
          <t>All temps/times are starting points. Food safety depends on internal temperature and handling. Use trusted food-safety guidance.</t>
        </is>
      </c>
    </row>
  </sheetData>
  <mergeCells count="11">
    <mergeCell ref="A1:H1"/>
    <mergeCell ref="A4:H4"/>
    <mergeCell ref="A7:H7"/>
    <mergeCell ref="A16:H16"/>
    <mergeCell ref="A10:H10"/>
    <mergeCell ref="A13:H13"/>
    <mergeCell ref="A11:H11"/>
    <mergeCell ref="A14:H14"/>
    <mergeCell ref="A5:H5"/>
    <mergeCell ref="A8:H8"/>
    <mergeCell ref="A17:H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52" customWidth="1" min="5" max="5"/>
  </cols>
  <sheetData>
    <row r="1" ht="22" customHeight="1">
      <c r="A1" s="12" t="inlineStr">
        <is>
          <t>Device</t>
        </is>
      </c>
      <c r="B1" s="12" t="inlineStr">
        <is>
          <t>Alias</t>
        </is>
      </c>
      <c r="C1" s="12" t="inlineStr">
        <is>
          <t>Type</t>
        </is>
      </c>
      <c r="D1" s="12" t="inlineStr">
        <is>
          <t>Cavity</t>
        </is>
      </c>
      <c r="E1" s="12" t="inlineStr">
        <is>
          <t>Notes</t>
        </is>
      </c>
    </row>
    <row r="2">
      <c r="A2" s="13" t="inlineStr">
        <is>
          <t>Oven (Conventional)</t>
        </is>
      </c>
      <c r="B2" s="13" t="inlineStr">
        <is>
          <t>OVEN_CONV</t>
        </is>
      </c>
      <c r="C2" s="13" t="inlineStr">
        <is>
          <t>Conventional</t>
        </is>
      </c>
      <c r="D2" s="13" t="inlineStr">
        <is>
          <t>Full-size</t>
        </is>
      </c>
      <c r="E2" s="13" t="inlineStr">
        <is>
          <t>Baseline for most recipes.</t>
        </is>
      </c>
    </row>
    <row r="3">
      <c r="A3" s="13" t="inlineStr">
        <is>
          <t>OTG (Conventional)</t>
        </is>
      </c>
      <c r="B3" s="13" t="inlineStr">
        <is>
          <t>OTG_CONV</t>
        </is>
      </c>
      <c r="C3" s="13" t="inlineStr">
        <is>
          <t>Conventional</t>
        </is>
      </c>
      <c r="D3" s="13" t="inlineStr">
        <is>
          <t>Countertop</t>
        </is>
      </c>
      <c r="E3" s="13" t="inlineStr">
        <is>
          <t>Often needs longer preheat; rotate once for even browning.</t>
        </is>
      </c>
    </row>
    <row r="4">
      <c r="A4" s="13" t="inlineStr">
        <is>
          <t>Oven (Convection/Fan)</t>
        </is>
      </c>
      <c r="B4" s="13" t="inlineStr">
        <is>
          <t>OVEN_FAN</t>
        </is>
      </c>
      <c r="C4" s="13" t="inlineStr">
        <is>
          <t>Convection</t>
        </is>
      </c>
      <c r="D4" s="13" t="inlineStr">
        <is>
          <t>Full-size</t>
        </is>
      </c>
      <c r="E4" s="13" t="inlineStr">
        <is>
          <t>Fan circulates heat; typically lower temp and/or shorten time.</t>
        </is>
      </c>
    </row>
    <row r="5">
      <c r="A5" s="13" t="inlineStr">
        <is>
          <t>OTG (Convection/Fan)</t>
        </is>
      </c>
      <c r="B5" s="13" t="inlineStr">
        <is>
          <t>OTG_FAN</t>
        </is>
      </c>
      <c r="C5" s="13" t="inlineStr">
        <is>
          <t>Convection</t>
        </is>
      </c>
      <c r="D5" s="13" t="inlineStr">
        <is>
          <t>Countertop</t>
        </is>
      </c>
      <c r="E5" s="13" t="inlineStr">
        <is>
          <t>Faster than OTG conventional; watch browning near heating elements.</t>
        </is>
      </c>
    </row>
    <row r="6">
      <c r="A6" s="13" t="inlineStr">
        <is>
          <t>Convection Microwave (Convection mode)</t>
        </is>
      </c>
      <c r="B6" s="13" t="inlineStr">
        <is>
          <t>MW_CONV</t>
        </is>
      </c>
      <c r="C6" s="13" t="inlineStr">
        <is>
          <t>Convection</t>
        </is>
      </c>
      <c r="D6" s="13" t="inlineStr">
        <is>
          <t>Small</t>
        </is>
      </c>
      <c r="E6" s="13" t="inlineStr">
        <is>
          <t>Use convection mode for baking/roasting; smaller cavity can cook faster.</t>
        </is>
      </c>
    </row>
    <row r="7">
      <c r="A7" s="13" t="inlineStr">
        <is>
          <t>Air Fryer (Basket)</t>
        </is>
      </c>
      <c r="B7" s="13" t="inlineStr">
        <is>
          <t>AF_BASKET</t>
        </is>
      </c>
      <c r="C7" s="13" t="inlineStr">
        <is>
          <t>AirFryer</t>
        </is>
      </c>
      <c r="D7" s="13" t="inlineStr">
        <is>
          <t>Very small</t>
        </is>
      </c>
      <c r="E7" s="13" t="inlineStr">
        <is>
          <t>Intense airflow; best for smaller portions; flip/shake half-way.</t>
        </is>
      </c>
    </row>
    <row r="8">
      <c r="A8" s="13" t="inlineStr">
        <is>
          <t>Air Fryer (Oven-style)</t>
        </is>
      </c>
      <c r="B8" s="13" t="inlineStr">
        <is>
          <t>AF_OVEN</t>
        </is>
      </c>
      <c r="C8" s="13" t="inlineStr">
        <is>
          <t>AirFryer</t>
        </is>
      </c>
      <c r="D8" s="13" t="inlineStr">
        <is>
          <t>Small</t>
        </is>
      </c>
      <c r="E8" s="13" t="inlineStr">
        <is>
          <t>More rack space than basket; still cooks faster than oven.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2026-05-07T15:17:50Z</dcterms:created>
  <dcterms:modified xmlns:dcterms="http://purl.org/dc/terms/" xmlns:xsi="http://www.w3.org/2001/XMLSchema-instance" xsi:type="dcterms:W3CDTF">2026-05-07T15:18:01Z</dcterms:modified>
</cp:coreProperties>
</file>